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aroofali\Desktop\Manpower details\Sept\"/>
    </mc:Choice>
  </mc:AlternateContent>
  <xr:revisionPtr revIDLastSave="0" documentId="13_ncr:1_{D214B10E-7EF2-4C02-AB02-8BA298F648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yana Manpower list  (2)" sheetId="6" r:id="rId1"/>
  </sheets>
  <definedNames>
    <definedName name="_xlnm._FilterDatabase" localSheetId="0" hidden="1">'Seyana Manpower list  (2)'!$A$2:$K$262</definedName>
    <definedName name="_xlnm.Print_Area" localSheetId="0">'Seyana Manpower list  (2)'!$A$1:$K$282</definedName>
    <definedName name="_xlnm.Print_Titles" localSheetId="0">'Seyana Manpower list  (2)'!$1:$2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76" i="6" l="1"/>
  <c r="D269" i="6"/>
  <c r="A143" i="6"/>
  <c r="A108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142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3" i="6"/>
  <c r="H268" i="6" l="1"/>
  <c r="H278" i="6" l="1"/>
  <c r="H277" i="6"/>
  <c r="D272" i="6"/>
  <c r="H266" i="6" l="1"/>
  <c r="K265" i="6"/>
  <c r="D275" i="6"/>
  <c r="D274" i="6" l="1"/>
  <c r="D271" i="6" l="1"/>
  <c r="D270" i="6"/>
  <c r="D268" i="6"/>
  <c r="D273" i="6" l="1"/>
  <c r="D265" i="6"/>
  <c r="H276" i="6" l="1"/>
  <c r="H275" i="6"/>
  <c r="H274" i="6"/>
  <c r="H267" i="6"/>
  <c r="H265" i="6"/>
  <c r="D266" i="6"/>
  <c r="D277" i="6"/>
  <c r="D267" i="6"/>
  <c r="D278" i="6" l="1"/>
  <c r="H269" i="6"/>
  <c r="H279" i="6"/>
  <c r="K271" i="6" l="1"/>
</calcChain>
</file>

<file path=xl/sharedStrings.xml><?xml version="1.0" encoding="utf-8"?>
<sst xmlns="http://schemas.openxmlformats.org/spreadsheetml/2006/main" count="1754" uniqueCount="477">
  <si>
    <t>Seyana Manpower Allotment</t>
  </si>
  <si>
    <t>Sl No.</t>
  </si>
  <si>
    <t>Employee ID</t>
  </si>
  <si>
    <t>Employee Name</t>
  </si>
  <si>
    <t>National ID</t>
  </si>
  <si>
    <t>Designation</t>
  </si>
  <si>
    <t>Nationality</t>
  </si>
  <si>
    <t>Sponsor Name</t>
  </si>
  <si>
    <t>Location</t>
  </si>
  <si>
    <t>Remarks</t>
  </si>
  <si>
    <t>MANDEEP SINGH</t>
  </si>
  <si>
    <t>INDIAN</t>
  </si>
  <si>
    <t>SEYANA</t>
  </si>
  <si>
    <t>HEAVY DUTY DRIVER</t>
  </si>
  <si>
    <t>PAKISTANI</t>
  </si>
  <si>
    <t>HARJINDER SINGH</t>
  </si>
  <si>
    <t>DILIP KUMAR</t>
  </si>
  <si>
    <t>MUKHTAR AHMED TAHIR LAL DIN</t>
  </si>
  <si>
    <t>AMIR</t>
  </si>
  <si>
    <t>JINA LAMA THOKRA</t>
  </si>
  <si>
    <t>NEPALESE</t>
  </si>
  <si>
    <t>MD NAFIG ALI</t>
  </si>
  <si>
    <t>HELPER</t>
  </si>
  <si>
    <t>BANGLADESHI</t>
  </si>
  <si>
    <t>RAJENDRA LONIYA</t>
  </si>
  <si>
    <t>HYDRO JETTER</t>
  </si>
  <si>
    <t>SARFROJKHAN PATHAN</t>
  </si>
  <si>
    <t>RAKIB HASAN</t>
  </si>
  <si>
    <t>RAM SINGH</t>
  </si>
  <si>
    <t>HUKUM SINGH</t>
  </si>
  <si>
    <t>DHRUV SINGH</t>
  </si>
  <si>
    <t>SAHINDRA YADAV</t>
  </si>
  <si>
    <t>ROQUE A  ILUSTRISIMO JR</t>
  </si>
  <si>
    <t>PIPE FITTER</t>
  </si>
  <si>
    <t>FILIPINO</t>
  </si>
  <si>
    <t>MARIO REY TEQUIL OBAMOS</t>
  </si>
  <si>
    <t>RIG OPERATOR</t>
  </si>
  <si>
    <t>MOHD  MAHBOOB ALAM</t>
  </si>
  <si>
    <t>KAVINDRA SINGH THAKUR SINGH</t>
  </si>
  <si>
    <t>EMMANUEL CARZA ABANTO</t>
  </si>
  <si>
    <t>SAFETY OFFICER</t>
  </si>
  <si>
    <t>NARESH YADLAPALLI</t>
  </si>
  <si>
    <t>WELDER</t>
  </si>
  <si>
    <t>AKHILJITH JAYAKUMAR</t>
  </si>
  <si>
    <t>ADMINISTRATOR GOVT. RELATION</t>
  </si>
  <si>
    <t>SAUDI</t>
  </si>
  <si>
    <t>AYAT ALSHAIKH</t>
  </si>
  <si>
    <t>DATA ENTRY</t>
  </si>
  <si>
    <t>NARJES ALAWAMI</t>
  </si>
  <si>
    <t>ZAHRAH ABBAS ALHAMALI</t>
  </si>
  <si>
    <t>NORA ABDULAZIZ ALABDULQADER</t>
  </si>
  <si>
    <t>HR SPECIALIST</t>
  </si>
  <si>
    <t>ASALAH AHMED ALZAHRANI</t>
  </si>
  <si>
    <t>ARJWAN ABDUAZIZ ALJADEED</t>
  </si>
  <si>
    <t>OFFICE ADMINISTRATOR</t>
  </si>
  <si>
    <t xml:space="preserve">DINA KHALID ALQAMDI </t>
  </si>
  <si>
    <t xml:space="preserve">HADEEL ALSHAHABI </t>
  </si>
  <si>
    <t>SUAAD ABDULLAH ALABAD</t>
  </si>
  <si>
    <t>SUPERVISOR DATA ENTRY</t>
  </si>
  <si>
    <t>ZAINAB HUSSAIN ALI</t>
  </si>
  <si>
    <t>AREEJ BADR SAUD AL-MUTAIRI</t>
  </si>
  <si>
    <t>SOCIAL MEDIA MARKETING</t>
  </si>
  <si>
    <t>AMAL HINDI ALHAJRI</t>
  </si>
  <si>
    <t>ADMINISTRATIVE ASSISTANT</t>
  </si>
  <si>
    <t>HOYA HINDI ALHAJRI</t>
  </si>
  <si>
    <t>ALJAZI HINDI ALHAJRI</t>
  </si>
  <si>
    <t>RECRUITMENT AGENT</t>
  </si>
  <si>
    <t>FATHIMAH ALZML</t>
  </si>
  <si>
    <t>RECUIRTMENT SPECIALIST</t>
  </si>
  <si>
    <t>GHADEER MADI ALHAJIRI</t>
  </si>
  <si>
    <t>OHUD MUSLEM ALSAEDI</t>
  </si>
  <si>
    <t>NANDA KISHOR KODLAMOGARU</t>
  </si>
  <si>
    <t xml:space="preserve">VMC OPERATOR </t>
  </si>
  <si>
    <t>SANKETH AITHAPPA GANIGA</t>
  </si>
  <si>
    <t>CNC OPERATOR</t>
  </si>
  <si>
    <t>PAVAN KUMAR PRAJAPATI</t>
  </si>
  <si>
    <t>MAINTENANCE TECHNICIAN</t>
  </si>
  <si>
    <t>DIVAKARA POLLAKAJE</t>
  </si>
  <si>
    <t>MECHANICAL TECHNICIAN</t>
  </si>
  <si>
    <t>SANJAYKUMAR DILIPBHAI PATEL</t>
  </si>
  <si>
    <t>DIESEL MECHANIC</t>
  </si>
  <si>
    <t>ABDUL MAJID AWAN ZULFIQAR AHMED KHAN</t>
  </si>
  <si>
    <t>MD SAIFUL SIKDER</t>
  </si>
  <si>
    <t>MD HABIBUR RAHMAN</t>
  </si>
  <si>
    <t>MECHANIC</t>
  </si>
  <si>
    <t>HRIDOY AHMED</t>
  </si>
  <si>
    <t>TEA BOY</t>
  </si>
  <si>
    <t>PRADEEP</t>
  </si>
  <si>
    <t>STOREKEEPER</t>
  </si>
  <si>
    <t>KARTIK ANNALIKE</t>
  </si>
  <si>
    <t>NABARAJ BASNET</t>
  </si>
  <si>
    <t>INDRA BAHADUR SHRESTHA</t>
  </si>
  <si>
    <t>SHREE PRASAD KHANAL</t>
  </si>
  <si>
    <t>HYDROJETTER</t>
  </si>
  <si>
    <t>LEKHA NATH POKHREL</t>
  </si>
  <si>
    <t>BHUPENDRA DAMAI</t>
  </si>
  <si>
    <t>SETE KAMI</t>
  </si>
  <si>
    <t>CHALAK MAN KAMI</t>
  </si>
  <si>
    <t>ABDUL KHADER AHMED</t>
  </si>
  <si>
    <t>HYDROJETTING FOREMAN</t>
  </si>
  <si>
    <t>GODWIN GREGORY DSOUZA</t>
  </si>
  <si>
    <t>GENERAL MANAGER</t>
  </si>
  <si>
    <t>MEHAROOF ALI THARAYIL</t>
  </si>
  <si>
    <t>IT ENGINEER</t>
  </si>
  <si>
    <t>AZIZ AHMED KHAN</t>
  </si>
  <si>
    <t>LOGISTICS SUPERVISOR</t>
  </si>
  <si>
    <t>AKIB ZAVED</t>
  </si>
  <si>
    <t>HERBIE E  MATIONG</t>
  </si>
  <si>
    <t>SENIOR PLANNING ENGR.</t>
  </si>
  <si>
    <t>GERRIT JEROME DSOUZA</t>
  </si>
  <si>
    <t>HADI ADEEL AL YAMI</t>
  </si>
  <si>
    <t>REPRESENTATIVE-GOVT. RELATIONS</t>
  </si>
  <si>
    <t>YASSEIN AOUED HUSSEN</t>
  </si>
  <si>
    <t>SECURITY GUARD</t>
  </si>
  <si>
    <t>NON SAUDI</t>
  </si>
  <si>
    <t>SEYANA YARD-SECURITY</t>
  </si>
  <si>
    <t>DAHAM OWAID HUSSAIN</t>
  </si>
  <si>
    <t>FAHAD FADHEL KHUWILED</t>
  </si>
  <si>
    <t xml:space="preserve">MAHMMAD FADL FAGRY KOELD </t>
  </si>
  <si>
    <t>NITHIN KONDADI KAMATH</t>
  </si>
  <si>
    <t>PRODUCTION MANAGER</t>
  </si>
  <si>
    <t>ANEESH KUMBLE</t>
  </si>
  <si>
    <t>DRAFT MAN</t>
  </si>
  <si>
    <t>MD SUJAN RANA</t>
  </si>
  <si>
    <t>RAVINDRA KUMAR YOGI</t>
  </si>
  <si>
    <t>MD BILLAL HUSSAN</t>
  </si>
  <si>
    <t>MD SOGIB BAPARI</t>
  </si>
  <si>
    <t>NARAYAN THAPA</t>
  </si>
  <si>
    <t>MOHAMMAD SAKIL HAKIM</t>
  </si>
  <si>
    <t>NURUL AMIN</t>
  </si>
  <si>
    <t xml:space="preserve">IMRAN KHAN ALAMGEER KHAN </t>
  </si>
  <si>
    <t>KAVINRAJA SAMUTHIRAPANDI</t>
  </si>
  <si>
    <t>MOHAMED IMTIYAZ</t>
  </si>
  <si>
    <t>SANDIP BK MANKAJI KAMI</t>
  </si>
  <si>
    <t>KHALIL UR RAHMAN</t>
  </si>
  <si>
    <t>WELDING FOREMAN</t>
  </si>
  <si>
    <t>SADDAM HUSAIN ANSARI</t>
  </si>
  <si>
    <t>VACATION</t>
  </si>
  <si>
    <t>RAFEEQ PARAKKATT</t>
  </si>
  <si>
    <t>Total</t>
  </si>
  <si>
    <t>MD.ASHIK</t>
  </si>
  <si>
    <t>RENTAL</t>
  </si>
  <si>
    <t>RAJIB KARKI</t>
  </si>
  <si>
    <t>CHIEF ACCOUNTANT</t>
  </si>
  <si>
    <t>LAWRENCE PRASAD DSOUZA</t>
  </si>
  <si>
    <t>DIRECTOR TECHNICAL AND MANUFACTURING</t>
  </si>
  <si>
    <t>SHASHIDHARA</t>
  </si>
  <si>
    <t>SURESH GRATION CONCESSO</t>
  </si>
  <si>
    <t>BALACHANDRA</t>
  </si>
  <si>
    <t>ANIL POOJARY</t>
  </si>
  <si>
    <t>GRINDER</t>
  </si>
  <si>
    <t>PAINTER</t>
  </si>
  <si>
    <t>FABRICATOR</t>
  </si>
  <si>
    <t>MOHAMMED SHAMEEM</t>
  </si>
  <si>
    <t>ABDULMAJEED AHMED ALFALQI</t>
  </si>
  <si>
    <t>SANTHOSH KUMAR</t>
  </si>
  <si>
    <t>AUTO ELECTRICIAN</t>
  </si>
  <si>
    <t>HARSHITH</t>
  </si>
  <si>
    <t>ARJUN KAMI</t>
  </si>
  <si>
    <t>LAKHINDRA KUMAR PATEL</t>
  </si>
  <si>
    <t>JOHN ARUN</t>
  </si>
  <si>
    <t xml:space="preserve">ROSHAN </t>
  </si>
  <si>
    <t>PARVEZ ALAM</t>
  </si>
  <si>
    <t>BOLT TORQUING TECHNICIAN</t>
  </si>
  <si>
    <t>HELPER STORE</t>
  </si>
  <si>
    <t>WELDER /WORK PARMIT RECEIVER</t>
  </si>
  <si>
    <t>ELECTRICIAN SUPERVIOSR</t>
  </si>
  <si>
    <t>RAJKUMAR KUSHWAHA</t>
  </si>
  <si>
    <t>ADMIN MANAGER</t>
  </si>
  <si>
    <t>ALI HUSSAIN</t>
  </si>
  <si>
    <t xml:space="preserve">MOHAMMAD OHEDUZZAMAN </t>
  </si>
  <si>
    <t>INVENTORY CONTROLLER</t>
  </si>
  <si>
    <t>WELDER / BOLT TORQUING TECHNICIAN</t>
  </si>
  <si>
    <t>FABRICATOR /  HYDRO TEST TECHNICIAN</t>
  </si>
  <si>
    <t>WELDER / PIPE FITTER</t>
  </si>
  <si>
    <t>HELPER / HYDROJETTER</t>
  </si>
  <si>
    <t>HYDRO JETTER / PIPE FITTER</t>
  </si>
  <si>
    <t>CHALAKH MAN KAMI</t>
  </si>
  <si>
    <t>PUSHPA KHANAL</t>
  </si>
  <si>
    <t>BIJAY KUMAR YADAV</t>
  </si>
  <si>
    <t>AAKAS GC</t>
  </si>
  <si>
    <t>MAADEN (ALUMINUM)</t>
  </si>
  <si>
    <t xml:space="preserve">SALEM SALEH AL -ATWA </t>
  </si>
  <si>
    <t>HYDROJETTER / BOLT TORQUING TECHNICIAN</t>
  </si>
  <si>
    <t xml:space="preserve">HYDROJETTER </t>
  </si>
  <si>
    <t>BUDDHI PRASAD DHAKAL</t>
  </si>
  <si>
    <t>PROCUERMENT</t>
  </si>
  <si>
    <t>SPRAY PAINTER</t>
  </si>
  <si>
    <t>MECHANICAL TECH</t>
  </si>
  <si>
    <t>INDUSTRIAL ELECTRICIAN</t>
  </si>
  <si>
    <t>MOHAMMAD RIZWAN</t>
  </si>
  <si>
    <t>ISMAIL KOJAPADY</t>
  </si>
  <si>
    <t>AMARNATH PUTHRAN</t>
  </si>
  <si>
    <t>VARUN SANJEEVA KUMAR</t>
  </si>
  <si>
    <t>HEMANTH KUMAR</t>
  </si>
  <si>
    <t>YAKSHITH</t>
  </si>
  <si>
    <t>HRITHIK VENUGOPAL</t>
  </si>
  <si>
    <t>JOHNSON MARK</t>
  </si>
  <si>
    <t>GANESH PEELA</t>
  </si>
  <si>
    <t>AKSHITH KUMAR</t>
  </si>
  <si>
    <t>ANWER HUSSAIN</t>
  </si>
  <si>
    <t>NAGABOOOSHAN RAMA POOJARY</t>
  </si>
  <si>
    <t>MANJUNATH RAMANNA NAIK</t>
  </si>
  <si>
    <t>RAKSHITH DEVADIGA</t>
  </si>
  <si>
    <t>SATHISH LALITHA ANCHAN</t>
  </si>
  <si>
    <t>BARNA BAS</t>
  </si>
  <si>
    <t>ASHWAN</t>
  </si>
  <si>
    <t>PRAJNESH SHETTY</t>
  </si>
  <si>
    <t>KENAL MONTHERO</t>
  </si>
  <si>
    <t>PRANAAM NAVEEN</t>
  </si>
  <si>
    <t>MANISH SHASHIKANTHA SHETTY</t>
  </si>
  <si>
    <t>PAWANRAJ VASANTHA ACHARYA</t>
  </si>
  <si>
    <t>VIJETH HALTHADKA KUSHALAPPA</t>
  </si>
  <si>
    <t>SWASTHIK RAI</t>
  </si>
  <si>
    <t>CHARAN SEETHARAMA</t>
  </si>
  <si>
    <t>PADMANABHA NARNAPPA POOJARY</t>
  </si>
  <si>
    <t>KARTHIK</t>
  </si>
  <si>
    <t>SANJAY SALIAN</t>
  </si>
  <si>
    <t>SUNIL RAJESH CUTINHA</t>
  </si>
  <si>
    <t>ALVIN LANCY MONTEIRO</t>
  </si>
  <si>
    <t>DURGESH CHAUDHRI</t>
  </si>
  <si>
    <t>RINITH JARA</t>
  </si>
  <si>
    <t>ESTIMATION &amp; PLANNING</t>
  </si>
  <si>
    <t>DEISEL MECHANIC</t>
  </si>
  <si>
    <t>PROJECT INCHARGE</t>
  </si>
  <si>
    <t xml:space="preserve">MOHAMMAD BUKARI </t>
  </si>
  <si>
    <t>HAMID KHAN</t>
  </si>
  <si>
    <t>KAMLESH KUMAR SAHANI</t>
  </si>
  <si>
    <t>SRI BHAGWAN SINGH</t>
  </si>
  <si>
    <t>BHUDHESHWAR YADAV</t>
  </si>
  <si>
    <t>SANJAI YADAV</t>
  </si>
  <si>
    <t>MOHAMMAD JISHAN</t>
  </si>
  <si>
    <t>MD NAUSHAD ALAM</t>
  </si>
  <si>
    <t>ARUN KAMALA DHAS</t>
  </si>
  <si>
    <t>MAJLU MIAH</t>
  </si>
  <si>
    <t>HERMAN ROYAN MENDONSA</t>
  </si>
  <si>
    <t>ZAK ARABIA</t>
  </si>
  <si>
    <t>IVAN DSOUZA</t>
  </si>
  <si>
    <t>AYUSH ASHOK</t>
  </si>
  <si>
    <t>AESHAH ABDULAZIZ ALJADEED</t>
  </si>
  <si>
    <t>RAGHAD SAUD ALNAFIEI</t>
  </si>
  <si>
    <t>RUND MOHAMMED ALZAHER</t>
  </si>
  <si>
    <t>CALL CENTER CLERK</t>
  </si>
  <si>
    <t>AREEJ AWADH AL WADAI</t>
  </si>
  <si>
    <t>NIHAL MOHAMMED ALWADAEY</t>
  </si>
  <si>
    <t>REEM MOHAMMED ALZAHER</t>
  </si>
  <si>
    <t>SECRETARY</t>
  </si>
  <si>
    <t>AMAL MOHAMMED ALZAHER</t>
  </si>
  <si>
    <t>RECEPTIONIST</t>
  </si>
  <si>
    <t>WARD SAAD ALSHAMMARI</t>
  </si>
  <si>
    <t>SHAHAD SAEED ALWADAI</t>
  </si>
  <si>
    <t>DANA SATI ALNAFAEI</t>
  </si>
  <si>
    <t>FINANCIAL CLERK</t>
  </si>
  <si>
    <t>ABEER MOHAMMED ALNUKHISH</t>
  </si>
  <si>
    <t>SAJA SAEED ALWADI</t>
  </si>
  <si>
    <t>CALL CENTER</t>
  </si>
  <si>
    <t>HR MANAGER</t>
  </si>
  <si>
    <t>LATIFAH HAMOUD ALSHAMMARI</t>
  </si>
  <si>
    <t>CLERK</t>
  </si>
  <si>
    <t>ZYAD ALI ALQARNI</t>
  </si>
  <si>
    <t>MOHAMMAD ABDULLAH ALWADEI</t>
  </si>
  <si>
    <t>MANAR HAMID ALWADEI</t>
  </si>
  <si>
    <t>CONTRACT SPECIALIST</t>
  </si>
  <si>
    <t>RANJIT KUMAR SINGH</t>
  </si>
  <si>
    <t>KRISHNA KUMAR SINGH</t>
  </si>
  <si>
    <t>JAYRAM YADAV</t>
  </si>
  <si>
    <t>BUNELA SITARAM YADAW</t>
  </si>
  <si>
    <t>SADDAM KHAN</t>
  </si>
  <si>
    <t>HARIDWAR PRASAD YADAV</t>
  </si>
  <si>
    <t>TAPULAL YADAV</t>
  </si>
  <si>
    <t>DHEERAJ GOVINDA KOTIAN</t>
  </si>
  <si>
    <t>AYOOB HAMAD KOJAPADY</t>
  </si>
  <si>
    <t>VASANTHA</t>
  </si>
  <si>
    <t>JOYLUS DSOUZA</t>
  </si>
  <si>
    <t>SHIVANANDA ROHIDAS</t>
  </si>
  <si>
    <t>ANIRUDH RAO</t>
  </si>
  <si>
    <t>SANDESH PRABHAKAR KARKERA</t>
  </si>
  <si>
    <t>MECHANICAL SUPERVISOR</t>
  </si>
  <si>
    <t>BUSINESS DEVELOPMENT OFFICER</t>
  </si>
  <si>
    <t>WORKSHOP INCHARGE / FOREMAN</t>
  </si>
  <si>
    <t>HELPER / CATALYST N2 TECH</t>
  </si>
  <si>
    <t>HELPER / MECHANICAL FITTER</t>
  </si>
  <si>
    <t xml:space="preserve">HELPER / MECHANICAL FITTER </t>
  </si>
  <si>
    <t xml:space="preserve">SEYANA MANUFACTURING </t>
  </si>
  <si>
    <t>MOHAMMAD MAHMUD</t>
  </si>
  <si>
    <t>KIYAM HUSAIN</t>
  </si>
  <si>
    <t>OLVIN LOBO</t>
  </si>
  <si>
    <t>MOHAMMED BILAL AHMED</t>
  </si>
  <si>
    <t>SUPERVISOR</t>
  </si>
  <si>
    <t>PIPE FACRICATOR</t>
  </si>
  <si>
    <t>SURESH GANAPATHI BAVIMANE</t>
  </si>
  <si>
    <t>CHETHAN KUMAR</t>
  </si>
  <si>
    <t>SOMRA ORAON</t>
  </si>
  <si>
    <t>BUYER -STORE</t>
  </si>
  <si>
    <t>CATALYST N2 TECHNICIAN</t>
  </si>
  <si>
    <t>SANDEEP CHERA</t>
  </si>
  <si>
    <t>MECHANIST</t>
  </si>
  <si>
    <t>RAJESHBHAI BIPINBHAI AMIN</t>
  </si>
  <si>
    <t>BUNDLE PULLER OPERATOR</t>
  </si>
  <si>
    <t>Supervisor</t>
  </si>
  <si>
    <t>HYDRO JETTER / DW OPARATOR</t>
  </si>
  <si>
    <t>HYDROJETTER / DW Oparator-HELPER</t>
  </si>
  <si>
    <t>HYDROJETTR / DW Oparator-HELPER</t>
  </si>
  <si>
    <t>HYDROJETTER / DW OPERATOR</t>
  </si>
  <si>
    <t>HYDRO JETTER / DW OPERATOR</t>
  </si>
  <si>
    <t>Catalyst Technician/ PIPE FITTER</t>
  </si>
  <si>
    <t>BA N2 Technician / MECHANICAL TECHNICIAN</t>
  </si>
  <si>
    <t>BA N2 Technician / MECHANICAL FITTER</t>
  </si>
  <si>
    <t xml:space="preserve">Singleline Technician / MECHANICAL TECH </t>
  </si>
  <si>
    <t>Singleline Technician / MECHANICAL TECH</t>
  </si>
  <si>
    <t>Singleline Technician / MECHANICAL TECHNICIAN</t>
  </si>
  <si>
    <t>Singleline Technician / HELPER / CNC MACHINIST</t>
  </si>
  <si>
    <t>BA N2 Technician</t>
  </si>
  <si>
    <t>Singleline Technician / MACHINIST</t>
  </si>
  <si>
    <t>Catalyst Technician / MECHANICAL TECH</t>
  </si>
  <si>
    <t>Singleline Technician / MECHANICAL FITTER</t>
  </si>
  <si>
    <t>BA N2 Technician / FOREMAN</t>
  </si>
  <si>
    <t xml:space="preserve">Singleline Technician /FITTER </t>
  </si>
  <si>
    <t>SEYANA YARD OFFICE</t>
  </si>
  <si>
    <t>MANUFACTURING  OFFICE</t>
  </si>
  <si>
    <t>SAIF BIN FAEZ ALRUWAYBI</t>
  </si>
  <si>
    <t>GM-HR</t>
  </si>
  <si>
    <t>SUPERVISOR -CATALIST</t>
  </si>
  <si>
    <t>FABRICATOR /PIPE FITTER</t>
  </si>
  <si>
    <t>ABDULAZIZ MOHAMMED ALGARNI</t>
  </si>
  <si>
    <t>MAADEN GOLD</t>
  </si>
  <si>
    <t>SARAH MOHAMMED SAAD ALSAEED</t>
  </si>
  <si>
    <t>SARAH HASSAN MOHAMMED AMIN ABDULRAHMAN</t>
  </si>
  <si>
    <t>NOHA HASSAN MOHAMMED AMIN ABDULRAHMAN</t>
  </si>
  <si>
    <t>FAHAD ABDULLAH BIN SAAD ALJUMAIAH</t>
  </si>
  <si>
    <t>NOUF ABDULAZIZ BIN SAAD ALJUMAIAH</t>
  </si>
  <si>
    <t>IBTISAM ABDUL LATIF BIN YOUSEF ALABDUL LATIF</t>
  </si>
  <si>
    <t>ARWA ABDULLAH AL BAKRA</t>
  </si>
  <si>
    <t>ATHEER ABDULLAH AL BAKRA</t>
  </si>
  <si>
    <t>AMANI ZAYED ALZAHRANI</t>
  </si>
  <si>
    <t>NAWAL SALEM ALZAHRANI</t>
  </si>
  <si>
    <t>OMRAN MAJED ALDOSSARI</t>
  </si>
  <si>
    <t>HAYA NASSER ALDOSSARI</t>
  </si>
  <si>
    <t>ALJAZI ABDULLAH ALDOSSARI</t>
  </si>
  <si>
    <t>NORA ALQARNI</t>
  </si>
  <si>
    <t>RAYED ALQARNI</t>
  </si>
  <si>
    <t>AMAL HUSSEIN ATWAH</t>
  </si>
  <si>
    <t>MARYAM AHMED AL QANIS</t>
  </si>
  <si>
    <t>AHMED HUSSAIN ALGHAZWI</t>
  </si>
  <si>
    <t>WALAA MOHAMMED ALSAMKHAN</t>
  </si>
  <si>
    <t>NABA ALI A ALMARHOON</t>
  </si>
  <si>
    <t>ALI ZAKI A ALAWAMI</t>
  </si>
  <si>
    <t>RAKAN KHALID ALHARETH</t>
  </si>
  <si>
    <t>JOUD ABDULRAHMAN ALDOSSARI</t>
  </si>
  <si>
    <t>WADHA TARIF ALDOSSARI</t>
  </si>
  <si>
    <t>NOURA SOYAN ALDOSSARI</t>
  </si>
  <si>
    <t>JAWHARAH AHMED ABDULAAL</t>
  </si>
  <si>
    <t>EMAN ABDULLAH ALKHAIR</t>
  </si>
  <si>
    <t>HUWAIDAH MOHSEN ALMUATTIR</t>
  </si>
  <si>
    <t>MOHAMMED ALI ALMOQBALI</t>
  </si>
  <si>
    <t>ALTAHERAH MUNEER ALJASSAS</t>
  </si>
  <si>
    <t>ABDULAZIZ SAUD ALSHAMMARI</t>
  </si>
  <si>
    <t>HR CLERK</t>
  </si>
  <si>
    <t>Receptionist</t>
  </si>
  <si>
    <t>Sales Specialist</t>
  </si>
  <si>
    <t>Secretary</t>
  </si>
  <si>
    <t>Administrative Assistant</t>
  </si>
  <si>
    <t>Human Resources Clerk</t>
  </si>
  <si>
    <t>Customer Services Specialist</t>
  </si>
  <si>
    <t>Reception</t>
  </si>
  <si>
    <t>Mechanical Technician</t>
  </si>
  <si>
    <t>Contracts Specialist</t>
  </si>
  <si>
    <t>Archive Clerk</t>
  </si>
  <si>
    <t>Human Resources Operations Specialist</t>
  </si>
  <si>
    <t>Customer Data Entry Clerk</t>
  </si>
  <si>
    <t>Government Relations Clerk</t>
  </si>
  <si>
    <t>Storekeeper</t>
  </si>
  <si>
    <t>System Administrator</t>
  </si>
  <si>
    <t>insurance request officer</t>
  </si>
  <si>
    <t>Performance Management Specialist</t>
  </si>
  <si>
    <t>Employment Specialist</t>
  </si>
  <si>
    <t>Licenses and Permits Officer</t>
  </si>
  <si>
    <t>Mechanical Vehicles Technician</t>
  </si>
  <si>
    <t>Data Collector</t>
  </si>
  <si>
    <t>Government RelationsClerk</t>
  </si>
  <si>
    <t>GRO</t>
  </si>
  <si>
    <t>AL ZAHAR</t>
  </si>
  <si>
    <t>SZ MANAGEMENT OFFICE</t>
  </si>
  <si>
    <t>N2 WELDER</t>
  </si>
  <si>
    <t>JIYAN HUSSAIN ALHUSSAIN</t>
  </si>
  <si>
    <t>HAYA ABDULLAH ALMEHALAFI</t>
  </si>
  <si>
    <t>COORDINATOR</t>
  </si>
  <si>
    <t>OPERATIONS MANAGER</t>
  </si>
  <si>
    <t>SHARATH KUMAR SANTHAVAR</t>
  </si>
  <si>
    <t>Department</t>
  </si>
  <si>
    <t>PMTA</t>
  </si>
  <si>
    <t>MFU</t>
  </si>
  <si>
    <t>CORP</t>
  </si>
  <si>
    <t xml:space="preserve"> SZ</t>
  </si>
  <si>
    <t>Sub -Dept</t>
  </si>
  <si>
    <t>MED</t>
  </si>
  <si>
    <t>CAT</t>
  </si>
  <si>
    <t>RIG</t>
  </si>
  <si>
    <t>EMT</t>
  </si>
  <si>
    <t>TA</t>
  </si>
  <si>
    <t>OFFICE</t>
  </si>
  <si>
    <t>FACILITY</t>
  </si>
  <si>
    <t>STORE</t>
  </si>
  <si>
    <t>TORQ</t>
  </si>
  <si>
    <t>P &amp; M HEAD</t>
  </si>
  <si>
    <t>HIRDYANAND MALLAH</t>
  </si>
  <si>
    <t>MANUFACTURING  SECURITY</t>
  </si>
  <si>
    <t>BITTU KUMAR</t>
  </si>
  <si>
    <t>RAJAN KUMAR YADAV</t>
  </si>
  <si>
    <t>ELITEX/JIZAN</t>
  </si>
  <si>
    <t>ELITEX/RASTANURA</t>
  </si>
  <si>
    <t xml:space="preserve">Welder </t>
  </si>
  <si>
    <t xml:space="preserve">PARVEJ ALAM </t>
  </si>
  <si>
    <t>KANOOZ/MADINAH</t>
  </si>
  <si>
    <t>SEYANA YARD</t>
  </si>
  <si>
    <t>Grinder</t>
  </si>
  <si>
    <t>Rigger</t>
  </si>
  <si>
    <t>Industrial Electrician</t>
  </si>
  <si>
    <t>HPJW</t>
  </si>
  <si>
    <t>HELPER /HYDRO JETTER</t>
  </si>
  <si>
    <t>SAFETY</t>
  </si>
  <si>
    <t>WPR</t>
  </si>
  <si>
    <t>Supervisor -TA</t>
  </si>
  <si>
    <t>Operator</t>
  </si>
  <si>
    <t>FOREMAN - TA</t>
  </si>
  <si>
    <t>Summary: PMTA</t>
  </si>
  <si>
    <t>ELITEX /RASTANURA</t>
  </si>
  <si>
    <t>TOTAL</t>
  </si>
  <si>
    <t>Summary: MFU</t>
  </si>
  <si>
    <t>SAUDIZATION</t>
  </si>
  <si>
    <t>HANNA MUTAIB MOHAMMED ALDABAAN</t>
  </si>
  <si>
    <t>AJEYA SHETTY</t>
  </si>
  <si>
    <t>BOOKED</t>
  </si>
  <si>
    <t>ARUN KUMAR</t>
  </si>
  <si>
    <t>HEAVY DUTY BUS DRIVER</t>
  </si>
  <si>
    <t>SAJAL MIA</t>
  </si>
  <si>
    <t>MUHAMMAD AZHER ZULFIQAR</t>
  </si>
  <si>
    <t>JUNIOR SAFETY OFFICER</t>
  </si>
  <si>
    <t>KALEEM AHMED</t>
  </si>
  <si>
    <t>MOHAMMAD SAJID KHAN</t>
  </si>
  <si>
    <t>FAWZI MUTIB MUHAMMAD ALDHABAN</t>
  </si>
  <si>
    <t>JALAL DIN GUL</t>
  </si>
  <si>
    <t>AMIN ULLAH ZAR</t>
  </si>
  <si>
    <t>AKHTAR HUSSAIN</t>
  </si>
  <si>
    <t>ELITEX/MADINA</t>
  </si>
  <si>
    <t>GHAZAYEL SAIF FAYEZ ALRUWAIBA</t>
  </si>
  <si>
    <t>FATHIMA MOHAMMED MOHSEN ALAMRI</t>
  </si>
  <si>
    <t>BAYAN MOHAMMED MOHSEN ALAMRI</t>
  </si>
  <si>
    <t>SHARIFAH SALMAN ALSHARFA</t>
  </si>
  <si>
    <t>MARRIYYAH MOHAMMED ALGHAZWI</t>
  </si>
  <si>
    <t>INSURANCCE ASSISTANT</t>
  </si>
  <si>
    <t>DATA ENTRY CLERK</t>
  </si>
  <si>
    <t>TECHNICAL CONTRACTS SPECIALIST</t>
  </si>
  <si>
    <t>SAID REHMAN DIN BOBRAI</t>
  </si>
  <si>
    <t>SAID UR REHMAN MIR AJAM KHAN</t>
  </si>
  <si>
    <t xml:space="preserve">HELPER </t>
  </si>
  <si>
    <t>DEVI PRASAD</t>
  </si>
  <si>
    <t>JANARDHAN BANGERA</t>
  </si>
  <si>
    <t>PRAJWAL HATTATHODY DOMBAYYA GOWDA</t>
  </si>
  <si>
    <t>C2841788</t>
  </si>
  <si>
    <t>C7428152</t>
  </si>
  <si>
    <t>C2846145</t>
  </si>
  <si>
    <t>SLOTTING &amp; COATING TECHNICIAN</t>
  </si>
  <si>
    <t>HORIZONTAL BORING OPERATOR</t>
  </si>
  <si>
    <t>CNC PROGRAMMER/DESIGNER</t>
  </si>
  <si>
    <t>WASMIYAH NASSER ALDOSSARI</t>
  </si>
  <si>
    <t>DALAL BANDAR ALDOSARI</t>
  </si>
  <si>
    <t>LAILA SAAD ALOTAIBI</t>
  </si>
  <si>
    <t>SALES SPECIALIST</t>
  </si>
  <si>
    <t>CUSTOMER SERVICE SPECIALI</t>
  </si>
  <si>
    <t>FAIZUDDIN MOHAMMED</t>
  </si>
  <si>
    <t xml:space="preserve">SEYANA YARD </t>
  </si>
  <si>
    <t>STANDBY</t>
  </si>
  <si>
    <t>SAID MOHIB UR REHMAN</t>
  </si>
  <si>
    <t>MAAZ KHAN KALA KHAN</t>
  </si>
  <si>
    <t>MAADEN (ALUMINUM) BOOKED</t>
  </si>
  <si>
    <t xml:space="preserve">KUNO (SIPCHEM)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</si>
</sst>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17" x14ac:knownFonts="1">
    <font>
      <sz val="11"/>
      <color theme="1"/>
      <name val="Aptos Narrow"/>
      <family val="2"/>
      <scheme val="minor"/>
    </font>
    <font>
      <b/>
      <sz val="16"/>
      <name val="Calibri"/>
      <family val="2"/>
    </font>
    <font>
      <b/>
      <sz val="14"/>
      <name val="Calibri"/>
      <family val="2"/>
    </font>
    <font>
      <b/>
      <sz val="16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24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rgb="FF20183B"/>
      <name val="Calibri"/>
      <family val="2"/>
    </font>
    <font>
      <b/>
      <sz val="12"/>
      <color rgb="FF000000"/>
      <name val="Calibri"/>
      <family val="2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7030A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/>
    <xf numFmtId="0" fontId="0" fillId="4" borderId="0" xfId="0" applyFill="1"/>
    <xf numFmtId="0" fontId="6" fillId="4" borderId="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4" borderId="7" xfId="1" applyNumberFormat="1" applyFont="1" applyFill="1" applyBorder="1" applyAlignment="1">
      <alignment horizontal="left" vertical="center" readingOrder="1"/>
    </xf>
    <xf numFmtId="49" fontId="6" fillId="4" borderId="7" xfId="0" applyNumberFormat="1" applyFont="1" applyFill="1" applyBorder="1" applyAlignment="1">
      <alignment horizontal="left" vertical="center" readingOrder="1"/>
    </xf>
    <xf numFmtId="49" fontId="6" fillId="4" borderId="10" xfId="0" applyNumberFormat="1" applyFont="1" applyFill="1" applyBorder="1" applyAlignment="1">
      <alignment horizontal="left" vertical="center" readingOrder="1"/>
    </xf>
    <xf numFmtId="49" fontId="6" fillId="4" borderId="2" xfId="0" applyNumberFormat="1" applyFont="1" applyFill="1" applyBorder="1" applyAlignment="1">
      <alignment horizontal="left" vertical="center" readingOrder="1"/>
    </xf>
    <xf numFmtId="49" fontId="6" fillId="4" borderId="1" xfId="0" applyNumberFormat="1" applyFont="1" applyFill="1" applyBorder="1" applyAlignment="1">
      <alignment horizontal="left" vertical="center" readingOrder="1"/>
    </xf>
    <xf numFmtId="0" fontId="8" fillId="4" borderId="10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readingOrder="1"/>
    </xf>
    <xf numFmtId="0" fontId="9" fillId="4" borderId="10" xfId="0" applyFont="1" applyFill="1" applyBorder="1" applyAlignment="1">
      <alignment horizontal="left" vertical="center" wrapText="1"/>
    </xf>
    <xf numFmtId="49" fontId="7" fillId="2" borderId="10" xfId="0" applyNumberFormat="1" applyFont="1" applyFill="1" applyBorder="1" applyAlignment="1">
      <alignment horizontal="left" vertical="center" readingOrder="1"/>
    </xf>
    <xf numFmtId="49" fontId="7" fillId="2" borderId="2" xfId="0" applyNumberFormat="1" applyFont="1" applyFill="1" applyBorder="1" applyAlignment="1">
      <alignment horizontal="left" vertical="center" readingOrder="1"/>
    </xf>
    <xf numFmtId="49" fontId="6" fillId="2" borderId="2" xfId="0" applyNumberFormat="1" applyFont="1" applyFill="1" applyBorder="1" applyAlignment="1">
      <alignment horizontal="left" vertical="center" readingOrder="1"/>
    </xf>
    <xf numFmtId="49" fontId="9" fillId="2" borderId="2" xfId="0" applyNumberFormat="1" applyFont="1" applyFill="1" applyBorder="1" applyAlignment="1">
      <alignment horizontal="left" vertical="center" readingOrder="1"/>
    </xf>
    <xf numFmtId="0" fontId="9" fillId="0" borderId="10" xfId="0" applyFont="1" applyBorder="1" applyAlignment="1">
      <alignment horizontal="left" vertical="center" wrapText="1"/>
    </xf>
    <xf numFmtId="0" fontId="6" fillId="0" borderId="7" xfId="1" applyNumberFormat="1" applyFont="1" applyFill="1" applyBorder="1" applyAlignment="1">
      <alignment horizontal="left" vertical="center" readingOrder="1"/>
    </xf>
    <xf numFmtId="0" fontId="6" fillId="0" borderId="2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 readingOrder="1"/>
    </xf>
    <xf numFmtId="49" fontId="6" fillId="0" borderId="1" xfId="0" applyNumberFormat="1" applyFont="1" applyBorder="1" applyAlignment="1">
      <alignment horizontal="left" vertical="center" readingOrder="1"/>
    </xf>
    <xf numFmtId="49" fontId="6" fillId="0" borderId="10" xfId="0" applyNumberFormat="1" applyFont="1" applyBorder="1" applyAlignment="1">
      <alignment horizontal="left" vertical="center" readingOrder="1"/>
    </xf>
    <xf numFmtId="0" fontId="6" fillId="0" borderId="2" xfId="0" applyFont="1" applyBorder="1" applyAlignment="1">
      <alignment horizontal="left" vertical="center" readingOrder="1"/>
    </xf>
    <xf numFmtId="0" fontId="10" fillId="0" borderId="0" xfId="0" applyFont="1" applyAlignment="1">
      <alignment vertical="center"/>
    </xf>
    <xf numFmtId="49" fontId="11" fillId="2" borderId="0" xfId="0" applyNumberFormat="1" applyFont="1" applyFill="1" applyAlignment="1">
      <alignment horizontal="left" vertical="center" readingOrder="1"/>
    </xf>
    <xf numFmtId="0" fontId="10" fillId="0" borderId="0" xfId="0" applyFont="1" applyAlignment="1">
      <alignment horizontal="left" vertical="center"/>
    </xf>
    <xf numFmtId="0" fontId="11" fillId="4" borderId="7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3" fillId="4" borderId="2" xfId="0" applyFont="1" applyFill="1" applyBorder="1"/>
    <xf numFmtId="0" fontId="11" fillId="0" borderId="0" xfId="0" applyFont="1" applyAlignment="1">
      <alignment vertical="center"/>
    </xf>
    <xf numFmtId="0" fontId="13" fillId="0" borderId="0" xfId="0" applyFont="1"/>
    <xf numFmtId="0" fontId="6" fillId="4" borderId="2" xfId="1" applyNumberFormat="1" applyFont="1" applyFill="1" applyBorder="1" applyAlignment="1">
      <alignment horizontal="left" vertical="center" readingOrder="1"/>
    </xf>
    <xf numFmtId="164" fontId="14" fillId="3" borderId="11" xfId="0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49" fontId="7" fillId="0" borderId="10" xfId="0" applyNumberFormat="1" applyFont="1" applyBorder="1" applyAlignment="1">
      <alignment horizontal="left" vertical="center" readingOrder="1"/>
    </xf>
    <xf numFmtId="49" fontId="7" fillId="0" borderId="2" xfId="0" applyNumberFormat="1" applyFont="1" applyBorder="1" applyAlignment="1">
      <alignment horizontal="left" vertical="center" readingOrder="1"/>
    </xf>
    <xf numFmtId="0" fontId="6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49" fontId="7" fillId="4" borderId="10" xfId="0" applyNumberFormat="1" applyFont="1" applyFill="1" applyBorder="1" applyAlignment="1">
      <alignment horizontal="left" vertical="center" readingOrder="1"/>
    </xf>
    <xf numFmtId="49" fontId="7" fillId="4" borderId="2" xfId="0" applyNumberFormat="1" applyFont="1" applyFill="1" applyBorder="1" applyAlignment="1">
      <alignment horizontal="left" vertical="center" readingOrder="1"/>
    </xf>
    <xf numFmtId="0" fontId="7" fillId="4" borderId="7" xfId="0" applyFont="1" applyFill="1" applyBorder="1" applyAlignment="1">
      <alignment horizontal="center"/>
    </xf>
    <xf numFmtId="0" fontId="11" fillId="0" borderId="7" xfId="0" applyFont="1" applyBorder="1" applyAlignment="1">
      <alignment vertical="center"/>
    </xf>
    <xf numFmtId="49" fontId="6" fillId="4" borderId="13" xfId="0" applyNumberFormat="1" applyFont="1" applyFill="1" applyBorder="1" applyAlignment="1">
      <alignment horizontal="left" vertical="center" readingOrder="1"/>
    </xf>
    <xf numFmtId="0" fontId="11" fillId="5" borderId="15" xfId="0" applyFont="1" applyFill="1" applyBorder="1" applyAlignment="1">
      <alignment horizontal="center" vertical="center"/>
    </xf>
    <xf numFmtId="0" fontId="11" fillId="5" borderId="16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0" fontId="6" fillId="0" borderId="2" xfId="1" applyNumberFormat="1" applyFont="1" applyFill="1" applyBorder="1" applyAlignment="1">
      <alignment horizontal="left" vertical="center" readingOrder="1"/>
    </xf>
    <xf numFmtId="49" fontId="6" fillId="0" borderId="7" xfId="0" applyNumberFormat="1" applyFont="1" applyBorder="1" applyAlignment="1">
      <alignment horizontal="left" vertical="center" readingOrder="1"/>
    </xf>
    <xf numFmtId="0" fontId="9" fillId="4" borderId="12" xfId="0" applyFont="1" applyFill="1" applyBorder="1" applyAlignment="1">
      <alignment horizontal="left" vertical="center" wrapText="1"/>
    </xf>
    <xf numFmtId="49" fontId="1" fillId="3" borderId="11" xfId="0" applyNumberFormat="1" applyFont="1" applyFill="1" applyBorder="1" applyAlignment="1">
      <alignment horizontal="center" vertical="center" readingOrder="1"/>
    </xf>
    <xf numFmtId="0" fontId="1" fillId="3" borderId="3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readingOrder="1"/>
    </xf>
    <xf numFmtId="49" fontId="7" fillId="4" borderId="12" xfId="0" applyNumberFormat="1" applyFont="1" applyFill="1" applyBorder="1" applyAlignment="1">
      <alignment horizontal="left" vertical="center" readingOrder="1"/>
    </xf>
    <xf numFmtId="49" fontId="7" fillId="4" borderId="7" xfId="0" applyNumberFormat="1" applyFont="1" applyFill="1" applyBorder="1" applyAlignment="1">
      <alignment horizontal="left" vertical="center" readingOrder="1"/>
    </xf>
    <xf numFmtId="0" fontId="6" fillId="0" borderId="7" xfId="0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 readingOrder="1"/>
    </xf>
    <xf numFmtId="49" fontId="6" fillId="0" borderId="8" xfId="0" applyNumberFormat="1" applyFont="1" applyBorder="1" applyAlignment="1">
      <alignment horizontal="left" vertical="center" readingOrder="1"/>
    </xf>
    <xf numFmtId="0" fontId="1" fillId="0" borderId="7" xfId="0" applyFont="1" applyBorder="1" applyAlignment="1">
      <alignment horizontal="center" vertical="center"/>
    </xf>
    <xf numFmtId="49" fontId="1" fillId="3" borderId="11" xfId="0" applyNumberFormat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49" fontId="6" fillId="4" borderId="7" xfId="0" applyNumberFormat="1" applyFont="1" applyFill="1" applyBorder="1" applyAlignment="1">
      <alignment horizontal="center" readingOrder="1"/>
    </xf>
    <xf numFmtId="0" fontId="6" fillId="0" borderId="7" xfId="0" applyFont="1" applyBorder="1" applyAlignment="1">
      <alignment horizontal="center"/>
    </xf>
    <xf numFmtId="49" fontId="7" fillId="0" borderId="7" xfId="0" applyNumberFormat="1" applyFont="1" applyBorder="1" applyAlignment="1">
      <alignment horizontal="center" readingOrder="1"/>
    </xf>
    <xf numFmtId="49" fontId="6" fillId="0" borderId="7" xfId="0" applyNumberFormat="1" applyFont="1" applyBorder="1" applyAlignment="1">
      <alignment horizontal="center" readingOrder="1"/>
    </xf>
    <xf numFmtId="49" fontId="6" fillId="4" borderId="2" xfId="0" applyNumberFormat="1" applyFont="1" applyFill="1" applyBorder="1" applyAlignment="1">
      <alignment horizontal="center" readingOrder="1"/>
    </xf>
    <xf numFmtId="49" fontId="6" fillId="0" borderId="2" xfId="0" applyNumberFormat="1" applyFont="1" applyBorder="1" applyAlignment="1">
      <alignment horizontal="center" readingOrder="1"/>
    </xf>
    <xf numFmtId="49" fontId="7" fillId="4" borderId="2" xfId="0" applyNumberFormat="1" applyFont="1" applyFill="1" applyBorder="1" applyAlignment="1">
      <alignment horizontal="center" readingOrder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11" fillId="8" borderId="20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8" borderId="2" xfId="0" applyFont="1" applyFill="1" applyBorder="1" applyAlignment="1">
      <alignment horizontal="center"/>
    </xf>
    <xf numFmtId="0" fontId="16" fillId="0" borderId="3" xfId="0" applyFont="1" applyBorder="1"/>
    <xf numFmtId="0" fontId="16" fillId="0" borderId="11" xfId="0" applyFont="1" applyBorder="1"/>
    <xf numFmtId="0" fontId="15" fillId="0" borderId="2" xfId="0" applyFont="1" applyBorder="1" applyAlignment="1">
      <alignment horizontal="center" vertical="center"/>
    </xf>
    <xf numFmtId="0" fontId="6" fillId="4" borderId="12" xfId="0" applyFont="1" applyFill="1" applyBorder="1" applyAlignment="1">
      <alignment horizontal="center"/>
    </xf>
    <xf numFmtId="49" fontId="6" fillId="4" borderId="23" xfId="0" applyNumberFormat="1" applyFont="1" applyFill="1" applyBorder="1" applyAlignment="1">
      <alignment horizontal="left" vertical="center" readingOrder="1"/>
    </xf>
    <xf numFmtId="49" fontId="7" fillId="0" borderId="12" xfId="0" applyNumberFormat="1" applyFont="1" applyBorder="1" applyAlignment="1">
      <alignment horizontal="left" vertical="center" readingOrder="1"/>
    </xf>
    <xf numFmtId="0" fontId="6" fillId="0" borderId="12" xfId="0" applyFont="1" applyBorder="1" applyAlignment="1">
      <alignment horizontal="center"/>
    </xf>
    <xf numFmtId="0" fontId="11" fillId="4" borderId="7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6" fillId="4" borderId="12" xfId="0" applyNumberFormat="1" applyFont="1" applyFill="1" applyBorder="1" applyAlignment="1">
      <alignment horizontal="left" vertical="center" readingOrder="1"/>
    </xf>
    <xf numFmtId="0" fontId="6" fillId="4" borderId="1" xfId="0" applyFont="1" applyFill="1" applyBorder="1" applyAlignment="1">
      <alignment horizontal="left" vertical="center" readingOrder="1"/>
    </xf>
    <xf numFmtId="0" fontId="11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49" fontId="5" fillId="3" borderId="4" xfId="0" applyNumberFormat="1" applyFont="1" applyFill="1" applyBorder="1" applyAlignment="1">
      <alignment horizontal="center" vertical="center" readingOrder="1"/>
    </xf>
    <xf numFmtId="49" fontId="5" fillId="3" borderId="5" xfId="0" applyNumberFormat="1" applyFont="1" applyFill="1" applyBorder="1" applyAlignment="1">
      <alignment horizontal="center" vertical="center" readingOrder="1"/>
    </xf>
    <xf numFmtId="49" fontId="5" fillId="3" borderId="6" xfId="0" applyNumberFormat="1" applyFont="1" applyFill="1" applyBorder="1" applyAlignment="1">
      <alignment horizontal="center" vertical="center" readingOrder="1"/>
    </xf>
    <xf numFmtId="49" fontId="2" fillId="7" borderId="17" xfId="0" applyNumberFormat="1" applyFont="1" applyFill="1" applyBorder="1" applyAlignment="1">
      <alignment horizontal="center" vertical="center" readingOrder="1"/>
    </xf>
    <xf numFmtId="49" fontId="2" fillId="7" borderId="18" xfId="0" applyNumberFormat="1" applyFont="1" applyFill="1" applyBorder="1" applyAlignment="1">
      <alignment horizontal="center" vertical="center" readingOrder="1"/>
    </xf>
    <xf numFmtId="49" fontId="2" fillId="10" borderId="4" xfId="0" applyNumberFormat="1" applyFont="1" applyFill="1" applyBorder="1" applyAlignment="1">
      <alignment horizontal="center" vertical="center" readingOrder="1"/>
    </xf>
    <xf numFmtId="49" fontId="2" fillId="10" borderId="5" xfId="0" applyNumberFormat="1" applyFont="1" applyFill="1" applyBorder="1" applyAlignment="1">
      <alignment horizontal="center" vertical="center" readingOrder="1"/>
    </xf>
    <xf numFmtId="49" fontId="2" fillId="10" borderId="6" xfId="0" applyNumberFormat="1" applyFont="1" applyFill="1" applyBorder="1" applyAlignment="1">
      <alignment horizontal="center" vertical="center" readingOrder="1"/>
    </xf>
    <xf numFmtId="49" fontId="2" fillId="6" borderId="19" xfId="0" applyNumberFormat="1" applyFont="1" applyFill="1" applyBorder="1" applyAlignment="1">
      <alignment horizontal="center" vertical="center" readingOrder="1"/>
    </xf>
    <xf numFmtId="49" fontId="2" fillId="6" borderId="0" xfId="0" applyNumberFormat="1" applyFont="1" applyFill="1" applyAlignment="1">
      <alignment horizontal="center" vertical="center" readingOrder="1"/>
    </xf>
    <xf numFmtId="49" fontId="6" fillId="8" borderId="2" xfId="0" applyNumberFormat="1" applyFont="1" applyFill="1" applyBorder="1" applyAlignment="1">
      <alignment horizontal="center" vertical="center" readingOrder="1"/>
    </xf>
    <xf numFmtId="0" fontId="0" fillId="9" borderId="2" xfId="0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left" vertical="center" readingOrder="1"/>
    </xf>
    <xf numFmtId="49" fontId="6" fillId="8" borderId="21" xfId="0" applyNumberFormat="1" applyFont="1" applyFill="1" applyBorder="1" applyAlignment="1">
      <alignment horizontal="center" vertical="center" readingOrder="1"/>
    </xf>
    <xf numFmtId="49" fontId="6" fillId="8" borderId="22" xfId="0" applyNumberFormat="1" applyFont="1" applyFill="1" applyBorder="1" applyAlignment="1">
      <alignment horizontal="center" vertical="center" readingOrder="1"/>
    </xf>
    <xf numFmtId="49" fontId="6" fillId="4" borderId="0" xfId="0" applyNumberFormat="1" applyFont="1" applyFill="1" applyAlignment="1">
      <alignment horizontal="center" vertical="center" readingOrder="1"/>
    </xf>
    <xf numFmtId="49" fontId="6" fillId="4" borderId="13" xfId="0" applyNumberFormat="1" applyFont="1" applyFill="1" applyBorder="1" applyAlignment="1">
      <alignment horizontal="left" vertical="center" readingOrder="1"/>
    </xf>
  </cellXfs>
  <cellStyles count="2">
    <cellStyle name="Comma" xfId="1" builtinId="3"/>
    <cellStyle name="Normal" xfId="0" builtinId="0"/>
  </cellStyles>
  <dxfs count="4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3E55-69D3-4D78-9CF0-C0B5E8916628}">
  <sheetPr>
    <tabColor rgb="FF92D050"/>
    <pageSetUpPr fitToPage="1"/>
  </sheetPr>
  <dimension ref="A1:L282"/>
  <sheetViews>
    <sheetView tabSelected="1" view="pageBreakPreview" zoomScale="70" zoomScaleNormal="70" zoomScaleSheetLayoutView="70" zoomScalePageLayoutView="80" workbookViewId="0">
      <pane ySplit="2" topLeftCell="A249" activePane="bottomLeft" state="frozen"/>
      <selection pane="bottomLeft" activeCell="E273" sqref="E273"/>
    </sheetView>
  </sheetViews>
  <sheetFormatPr defaultRowHeight="15" x14ac:dyDescent="0.25"/>
  <cols>
    <col min="1" max="1" width="7.85546875" customWidth="1"/>
    <col min="2" max="2" width="16.85546875" customWidth="1"/>
    <col min="3" max="3" width="53.85546875" bestFit="1" customWidth="1"/>
    <col min="4" max="4" width="22" bestFit="1" customWidth="1"/>
    <col min="5" max="5" width="50" bestFit="1" customWidth="1"/>
    <col min="6" max="6" width="28" bestFit="1" customWidth="1"/>
    <col min="7" max="7" width="20.28515625" style="75" bestFit="1" customWidth="1"/>
    <col min="8" max="8" width="22" bestFit="1" customWidth="1"/>
    <col min="9" max="9" width="26.42578125" bestFit="1" customWidth="1"/>
    <col min="10" max="10" width="39.28515625" bestFit="1" customWidth="1"/>
    <col min="11" max="11" width="25.7109375" bestFit="1" customWidth="1"/>
    <col min="12" max="12" width="13.7109375" customWidth="1"/>
  </cols>
  <sheetData>
    <row r="1" spans="1:12" ht="31.15" customHeight="1" thickBot="1" x14ac:dyDescent="0.3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6"/>
      <c r="K1" s="36">
        <v>46295</v>
      </c>
    </row>
    <row r="2" spans="1:12" s="1" customFormat="1" ht="41.25" customHeight="1" thickBot="1" x14ac:dyDescent="0.4">
      <c r="A2" s="54" t="s">
        <v>1</v>
      </c>
      <c r="B2" s="54" t="s">
        <v>2</v>
      </c>
      <c r="C2" s="54" t="s">
        <v>3</v>
      </c>
      <c r="D2" s="54" t="s">
        <v>4</v>
      </c>
      <c r="E2" s="54" t="s">
        <v>5</v>
      </c>
      <c r="F2" s="54" t="s">
        <v>389</v>
      </c>
      <c r="G2" s="64" t="s">
        <v>394</v>
      </c>
      <c r="H2" s="54" t="s">
        <v>6</v>
      </c>
      <c r="I2" s="54" t="s">
        <v>7</v>
      </c>
      <c r="J2" s="54" t="s">
        <v>8</v>
      </c>
      <c r="K2" s="55" t="s">
        <v>9</v>
      </c>
    </row>
    <row r="3" spans="1:12" s="1" customFormat="1" ht="22.5" customHeight="1" x14ac:dyDescent="0.35">
      <c r="A3" s="3">
        <f>ROW()-2</f>
        <v>1</v>
      </c>
      <c r="B3" s="44">
        <v>740319</v>
      </c>
      <c r="C3" s="58" t="s">
        <v>220</v>
      </c>
      <c r="D3" s="5">
        <v>2634809418</v>
      </c>
      <c r="E3" s="59" t="s">
        <v>383</v>
      </c>
      <c r="F3" s="6" t="s">
        <v>390</v>
      </c>
      <c r="G3" s="66" t="s">
        <v>396</v>
      </c>
      <c r="H3" s="6" t="s">
        <v>11</v>
      </c>
      <c r="I3" s="62" t="s">
        <v>381</v>
      </c>
      <c r="J3" s="6" t="s">
        <v>410</v>
      </c>
      <c r="K3" s="49"/>
      <c r="L3"/>
    </row>
    <row r="4" spans="1:12" s="2" customFormat="1" ht="19.899999999999999" customHeight="1" x14ac:dyDescent="0.25">
      <c r="A4" s="3">
        <f t="shared" ref="A4:A67" si="0">ROW()-2</f>
        <v>2</v>
      </c>
      <c r="B4" s="4">
        <v>740287</v>
      </c>
      <c r="C4" s="86" t="s">
        <v>191</v>
      </c>
      <c r="D4" s="5">
        <v>2634810713</v>
      </c>
      <c r="E4" s="8" t="s">
        <v>309</v>
      </c>
      <c r="F4" s="6" t="s">
        <v>390</v>
      </c>
      <c r="G4" s="67" t="s">
        <v>396</v>
      </c>
      <c r="H4" s="8" t="s">
        <v>11</v>
      </c>
      <c r="I4" s="22" t="s">
        <v>381</v>
      </c>
      <c r="J4" s="8" t="s">
        <v>432</v>
      </c>
      <c r="K4" s="29"/>
    </row>
    <row r="5" spans="1:12" s="2" customFormat="1" ht="19.899999999999999" customHeight="1" x14ac:dyDescent="0.25">
      <c r="A5" s="3">
        <f t="shared" si="0"/>
        <v>3</v>
      </c>
      <c r="B5" s="4">
        <v>740292</v>
      </c>
      <c r="C5" s="86" t="s">
        <v>196</v>
      </c>
      <c r="D5" s="5">
        <v>2634809756</v>
      </c>
      <c r="E5" s="11" t="s">
        <v>313</v>
      </c>
      <c r="F5" s="50" t="s">
        <v>390</v>
      </c>
      <c r="G5" s="66" t="s">
        <v>396</v>
      </c>
      <c r="H5" s="8" t="s">
        <v>11</v>
      </c>
      <c r="I5" s="22" t="s">
        <v>381</v>
      </c>
      <c r="J5" s="8" t="s">
        <v>414</v>
      </c>
      <c r="K5" s="29"/>
    </row>
    <row r="6" spans="1:12" s="2" customFormat="1" ht="19.899999999999999" customHeight="1" x14ac:dyDescent="0.25">
      <c r="A6" s="3">
        <f t="shared" si="0"/>
        <v>4</v>
      </c>
      <c r="B6" s="4">
        <v>740293</v>
      </c>
      <c r="C6" s="86" t="s">
        <v>237</v>
      </c>
      <c r="D6" s="5">
        <v>2634807370</v>
      </c>
      <c r="E6" s="11" t="s">
        <v>312</v>
      </c>
      <c r="F6" s="50" t="s">
        <v>390</v>
      </c>
      <c r="G6" s="66" t="s">
        <v>396</v>
      </c>
      <c r="H6" s="8" t="s">
        <v>11</v>
      </c>
      <c r="I6" s="22" t="s">
        <v>381</v>
      </c>
      <c r="J6" s="8" t="s">
        <v>432</v>
      </c>
      <c r="K6" s="31"/>
    </row>
    <row r="7" spans="1:12" s="2" customFormat="1" ht="19.899999999999999" customHeight="1" x14ac:dyDescent="0.25">
      <c r="A7" s="3">
        <f t="shared" si="0"/>
        <v>5</v>
      </c>
      <c r="B7" s="4">
        <v>740294</v>
      </c>
      <c r="C7" s="86" t="s">
        <v>197</v>
      </c>
      <c r="D7" s="19">
        <v>2634807271</v>
      </c>
      <c r="E7" s="20" t="s">
        <v>305</v>
      </c>
      <c r="F7" s="60" t="s">
        <v>390</v>
      </c>
      <c r="G7" s="68" t="s">
        <v>396</v>
      </c>
      <c r="H7" s="21" t="s">
        <v>11</v>
      </c>
      <c r="I7" s="22" t="s">
        <v>381</v>
      </c>
      <c r="J7" s="8" t="s">
        <v>414</v>
      </c>
      <c r="K7" s="30"/>
    </row>
    <row r="8" spans="1:12" s="2" customFormat="1" ht="19.899999999999999" customHeight="1" x14ac:dyDescent="0.25">
      <c r="A8" s="3">
        <f t="shared" si="0"/>
        <v>6</v>
      </c>
      <c r="B8" s="4">
        <v>740297</v>
      </c>
      <c r="C8" s="86" t="s">
        <v>199</v>
      </c>
      <c r="D8" s="5">
        <v>2634810242</v>
      </c>
      <c r="E8" s="11" t="s">
        <v>309</v>
      </c>
      <c r="F8" s="50" t="s">
        <v>390</v>
      </c>
      <c r="G8" s="66" t="s">
        <v>396</v>
      </c>
      <c r="H8" s="8" t="s">
        <v>11</v>
      </c>
      <c r="I8" s="22" t="s">
        <v>381</v>
      </c>
      <c r="J8" s="8" t="s">
        <v>476</v>
      </c>
      <c r="K8" s="29"/>
    </row>
    <row r="9" spans="1:12" s="2" customFormat="1" ht="19.899999999999999" customHeight="1" x14ac:dyDescent="0.25">
      <c r="A9" s="3">
        <f t="shared" si="0"/>
        <v>7</v>
      </c>
      <c r="B9" s="4">
        <v>740299</v>
      </c>
      <c r="C9" s="86" t="s">
        <v>201</v>
      </c>
      <c r="D9" s="5">
        <v>2634806752</v>
      </c>
      <c r="E9" s="8" t="s">
        <v>308</v>
      </c>
      <c r="F9" s="6" t="s">
        <v>390</v>
      </c>
      <c r="G9" s="67" t="s">
        <v>396</v>
      </c>
      <c r="H9" s="8" t="s">
        <v>11</v>
      </c>
      <c r="I9" s="21" t="s">
        <v>381</v>
      </c>
      <c r="J9" s="8" t="s">
        <v>414</v>
      </c>
      <c r="K9" s="29"/>
    </row>
    <row r="10" spans="1:12" s="2" customFormat="1" ht="19.899999999999999" customHeight="1" x14ac:dyDescent="0.25">
      <c r="A10" s="3">
        <f t="shared" si="0"/>
        <v>8</v>
      </c>
      <c r="B10" s="4">
        <v>740305</v>
      </c>
      <c r="C10" s="86" t="s">
        <v>207</v>
      </c>
      <c r="D10" s="5">
        <v>2634806281</v>
      </c>
      <c r="E10" s="8" t="s">
        <v>311</v>
      </c>
      <c r="F10" s="6" t="s">
        <v>390</v>
      </c>
      <c r="G10" s="67" t="s">
        <v>396</v>
      </c>
      <c r="H10" s="8" t="s">
        <v>11</v>
      </c>
      <c r="I10" s="21" t="s">
        <v>381</v>
      </c>
      <c r="J10" s="8" t="s">
        <v>391</v>
      </c>
      <c r="K10" s="29"/>
    </row>
    <row r="11" spans="1:12" s="2" customFormat="1" ht="19.899999999999999" customHeight="1" x14ac:dyDescent="0.25">
      <c r="A11" s="3">
        <f t="shared" si="0"/>
        <v>9</v>
      </c>
      <c r="B11" s="4">
        <v>740306</v>
      </c>
      <c r="C11" s="86" t="s">
        <v>208</v>
      </c>
      <c r="D11" s="19">
        <v>2634808345</v>
      </c>
      <c r="E11" s="39" t="s">
        <v>306</v>
      </c>
      <c r="F11" s="61" t="s">
        <v>390</v>
      </c>
      <c r="G11" s="69" t="s">
        <v>396</v>
      </c>
      <c r="H11" s="21" t="s">
        <v>11</v>
      </c>
      <c r="I11" s="21" t="s">
        <v>381</v>
      </c>
      <c r="J11" s="8" t="s">
        <v>476</v>
      </c>
      <c r="K11" s="31"/>
    </row>
    <row r="12" spans="1:12" s="2" customFormat="1" ht="19.899999999999999" customHeight="1" x14ac:dyDescent="0.25">
      <c r="A12" s="3">
        <f t="shared" si="0"/>
        <v>10</v>
      </c>
      <c r="B12" s="4">
        <v>740307</v>
      </c>
      <c r="C12" s="86" t="s">
        <v>209</v>
      </c>
      <c r="D12" s="5">
        <v>2634808873</v>
      </c>
      <c r="E12" s="8" t="s">
        <v>310</v>
      </c>
      <c r="F12" s="6" t="s">
        <v>390</v>
      </c>
      <c r="G12" s="67" t="s">
        <v>396</v>
      </c>
      <c r="H12" s="8" t="s">
        <v>11</v>
      </c>
      <c r="I12" s="21" t="s">
        <v>381</v>
      </c>
      <c r="J12" s="8" t="s">
        <v>432</v>
      </c>
      <c r="K12" s="29"/>
    </row>
    <row r="13" spans="1:12" s="2" customFormat="1" ht="19.899999999999999" customHeight="1" x14ac:dyDescent="0.25">
      <c r="A13" s="3">
        <f t="shared" si="0"/>
        <v>11</v>
      </c>
      <c r="B13" s="37">
        <v>740309</v>
      </c>
      <c r="C13" s="86" t="s">
        <v>211</v>
      </c>
      <c r="D13" s="19">
        <v>2634807651</v>
      </c>
      <c r="E13" s="61" t="s">
        <v>307</v>
      </c>
      <c r="F13" s="61" t="s">
        <v>390</v>
      </c>
      <c r="G13" s="69" t="s">
        <v>396</v>
      </c>
      <c r="H13" s="52" t="s">
        <v>11</v>
      </c>
      <c r="I13" s="21" t="s">
        <v>381</v>
      </c>
      <c r="J13" s="8" t="s">
        <v>476</v>
      </c>
      <c r="K13" s="31"/>
    </row>
    <row r="14" spans="1:12" s="2" customFormat="1" ht="19.899999999999999" customHeight="1" x14ac:dyDescent="0.25">
      <c r="A14" s="3">
        <f t="shared" si="0"/>
        <v>12</v>
      </c>
      <c r="B14" s="4">
        <v>740310</v>
      </c>
      <c r="C14" s="86" t="s">
        <v>212</v>
      </c>
      <c r="D14" s="5">
        <v>2634808410</v>
      </c>
      <c r="E14" s="11" t="s">
        <v>315</v>
      </c>
      <c r="F14" s="50" t="s">
        <v>390</v>
      </c>
      <c r="G14" s="66" t="s">
        <v>396</v>
      </c>
      <c r="H14" s="8" t="s">
        <v>11</v>
      </c>
      <c r="I14" s="21" t="s">
        <v>381</v>
      </c>
      <c r="J14" s="8" t="s">
        <v>414</v>
      </c>
      <c r="K14" s="29"/>
    </row>
    <row r="15" spans="1:12" s="2" customFormat="1" ht="19.899999999999999" customHeight="1" x14ac:dyDescent="0.25">
      <c r="A15" s="3">
        <f t="shared" si="0"/>
        <v>13</v>
      </c>
      <c r="B15" s="4">
        <v>740311</v>
      </c>
      <c r="C15" s="86" t="s">
        <v>213</v>
      </c>
      <c r="D15" s="5">
        <v>2634811190</v>
      </c>
      <c r="E15" s="11" t="s">
        <v>315</v>
      </c>
      <c r="F15" s="50" t="s">
        <v>390</v>
      </c>
      <c r="G15" s="66" t="s">
        <v>396</v>
      </c>
      <c r="H15" s="8" t="s">
        <v>11</v>
      </c>
      <c r="I15" s="21" t="s">
        <v>381</v>
      </c>
      <c r="J15" s="8" t="s">
        <v>414</v>
      </c>
      <c r="K15" s="29"/>
    </row>
    <row r="16" spans="1:12" s="2" customFormat="1" ht="19.899999999999999" customHeight="1" x14ac:dyDescent="0.25">
      <c r="A16" s="3">
        <f t="shared" si="0"/>
        <v>14</v>
      </c>
      <c r="B16" s="4">
        <v>740312</v>
      </c>
      <c r="C16" s="86" t="s">
        <v>214</v>
      </c>
      <c r="D16" s="19">
        <v>2634807537</v>
      </c>
      <c r="E16" s="39" t="s">
        <v>307</v>
      </c>
      <c r="F16" s="61" t="s">
        <v>390</v>
      </c>
      <c r="G16" s="69" t="s">
        <v>396</v>
      </c>
      <c r="H16" s="21" t="s">
        <v>11</v>
      </c>
      <c r="I16" s="21" t="s">
        <v>381</v>
      </c>
      <c r="J16" s="8" t="s">
        <v>476</v>
      </c>
      <c r="K16" s="31"/>
    </row>
    <row r="17" spans="1:11" s="2" customFormat="1" ht="19.899999999999999" customHeight="1" x14ac:dyDescent="0.25">
      <c r="A17" s="3">
        <f t="shared" si="0"/>
        <v>15</v>
      </c>
      <c r="B17" s="4">
        <v>740313</v>
      </c>
      <c r="C17" s="86" t="s">
        <v>215</v>
      </c>
      <c r="D17" s="19">
        <v>2634807966</v>
      </c>
      <c r="E17" s="39" t="s">
        <v>307</v>
      </c>
      <c r="F17" s="61" t="s">
        <v>390</v>
      </c>
      <c r="G17" s="69" t="s">
        <v>396</v>
      </c>
      <c r="H17" s="21" t="s">
        <v>11</v>
      </c>
      <c r="I17" s="21" t="s">
        <v>381</v>
      </c>
      <c r="J17" s="8" t="s">
        <v>432</v>
      </c>
      <c r="K17" s="31"/>
    </row>
    <row r="18" spans="1:11" s="2" customFormat="1" ht="19.899999999999999" customHeight="1" x14ac:dyDescent="0.25">
      <c r="A18" s="3">
        <f t="shared" si="0"/>
        <v>16</v>
      </c>
      <c r="B18" s="4">
        <v>740314</v>
      </c>
      <c r="C18" s="86" t="s">
        <v>216</v>
      </c>
      <c r="D18" s="5">
        <v>2634810168</v>
      </c>
      <c r="E18" s="11" t="s">
        <v>310</v>
      </c>
      <c r="F18" s="50" t="s">
        <v>390</v>
      </c>
      <c r="G18" s="66" t="s">
        <v>396</v>
      </c>
      <c r="H18" s="8" t="s">
        <v>11</v>
      </c>
      <c r="I18" s="21" t="s">
        <v>381</v>
      </c>
      <c r="J18" s="8" t="s">
        <v>432</v>
      </c>
      <c r="K18" s="29"/>
    </row>
    <row r="19" spans="1:11" s="2" customFormat="1" ht="19.899999999999999" customHeight="1" x14ac:dyDescent="0.25">
      <c r="A19" s="3">
        <f t="shared" si="0"/>
        <v>17</v>
      </c>
      <c r="B19" s="4">
        <v>740317</v>
      </c>
      <c r="C19" s="86" t="s">
        <v>218</v>
      </c>
      <c r="D19" s="19">
        <v>2634808097</v>
      </c>
      <c r="E19" s="39" t="s">
        <v>322</v>
      </c>
      <c r="F19" s="61" t="s">
        <v>390</v>
      </c>
      <c r="G19" s="69" t="s">
        <v>396</v>
      </c>
      <c r="H19" s="21" t="s">
        <v>11</v>
      </c>
      <c r="I19" s="21" t="s">
        <v>381</v>
      </c>
      <c r="J19" s="8" t="s">
        <v>476</v>
      </c>
      <c r="K19" s="31"/>
    </row>
    <row r="20" spans="1:11" s="2" customFormat="1" ht="19.899999999999999" customHeight="1" x14ac:dyDescent="0.25">
      <c r="A20" s="3">
        <f t="shared" si="0"/>
        <v>18</v>
      </c>
      <c r="B20" s="4">
        <v>740318</v>
      </c>
      <c r="C20" s="86" t="s">
        <v>219</v>
      </c>
      <c r="D20" s="19">
        <v>2634809111</v>
      </c>
      <c r="E20" s="39" t="s">
        <v>307</v>
      </c>
      <c r="F20" s="61" t="s">
        <v>390</v>
      </c>
      <c r="G20" s="69" t="s">
        <v>396</v>
      </c>
      <c r="H20" s="21" t="s">
        <v>11</v>
      </c>
      <c r="I20" s="21" t="s">
        <v>381</v>
      </c>
      <c r="J20" s="8" t="s">
        <v>476</v>
      </c>
      <c r="K20" s="31"/>
    </row>
    <row r="21" spans="1:11" s="2" customFormat="1" ht="19.899999999999999" customHeight="1" x14ac:dyDescent="0.25">
      <c r="A21" s="3">
        <f t="shared" si="0"/>
        <v>19</v>
      </c>
      <c r="B21" s="4">
        <v>740320</v>
      </c>
      <c r="C21" s="86" t="s">
        <v>221</v>
      </c>
      <c r="D21" s="5">
        <v>2634811539</v>
      </c>
      <c r="E21" s="11" t="s">
        <v>310</v>
      </c>
      <c r="F21" s="50" t="s">
        <v>390</v>
      </c>
      <c r="G21" s="66" t="s">
        <v>396</v>
      </c>
      <c r="H21" s="8" t="s">
        <v>11</v>
      </c>
      <c r="I21" s="21" t="s">
        <v>381</v>
      </c>
      <c r="J21" s="8" t="s">
        <v>414</v>
      </c>
      <c r="K21" s="29"/>
    </row>
    <row r="22" spans="1:11" s="2" customFormat="1" ht="19.899999999999999" customHeight="1" x14ac:dyDescent="0.25">
      <c r="A22" s="3">
        <f t="shared" si="0"/>
        <v>20</v>
      </c>
      <c r="B22" s="4">
        <v>740339</v>
      </c>
      <c r="C22" s="86" t="s">
        <v>273</v>
      </c>
      <c r="D22" s="19">
        <v>2640812547</v>
      </c>
      <c r="E22" s="21" t="s">
        <v>307</v>
      </c>
      <c r="F22" s="52" t="s">
        <v>390</v>
      </c>
      <c r="G22" s="70" t="s">
        <v>396</v>
      </c>
      <c r="H22" s="21" t="s">
        <v>11</v>
      </c>
      <c r="I22" s="21" t="s">
        <v>381</v>
      </c>
      <c r="J22" s="8" t="s">
        <v>476</v>
      </c>
      <c r="K22" s="31"/>
    </row>
    <row r="23" spans="1:11" s="2" customFormat="1" ht="19.899999999999999" customHeight="1" x14ac:dyDescent="0.25">
      <c r="A23" s="3">
        <f t="shared" si="0"/>
        <v>21</v>
      </c>
      <c r="B23" s="4">
        <v>740340</v>
      </c>
      <c r="C23" s="86" t="s">
        <v>271</v>
      </c>
      <c r="D23" s="19">
        <v>2640813164</v>
      </c>
      <c r="E23" s="21" t="s">
        <v>316</v>
      </c>
      <c r="F23" s="52" t="s">
        <v>390</v>
      </c>
      <c r="G23" s="70" t="s">
        <v>396</v>
      </c>
      <c r="H23" s="21" t="s">
        <v>11</v>
      </c>
      <c r="I23" s="21" t="s">
        <v>381</v>
      </c>
      <c r="J23" s="8" t="s">
        <v>432</v>
      </c>
      <c r="K23" s="31"/>
    </row>
    <row r="24" spans="1:11" s="2" customFormat="1" ht="19.899999999999999" customHeight="1" x14ac:dyDescent="0.25">
      <c r="A24" s="3">
        <f t="shared" si="0"/>
        <v>22</v>
      </c>
      <c r="B24" s="4">
        <v>740341</v>
      </c>
      <c r="C24" s="86" t="s">
        <v>274</v>
      </c>
      <c r="D24" s="19">
        <v>2640812810</v>
      </c>
      <c r="E24" s="21" t="s">
        <v>312</v>
      </c>
      <c r="F24" s="6" t="s">
        <v>390</v>
      </c>
      <c r="G24" s="67" t="s">
        <v>396</v>
      </c>
      <c r="H24" s="21" t="s">
        <v>11</v>
      </c>
      <c r="I24" s="21" t="s">
        <v>381</v>
      </c>
      <c r="J24" s="8" t="s">
        <v>432</v>
      </c>
      <c r="K24" s="29"/>
    </row>
    <row r="25" spans="1:11" s="2" customFormat="1" ht="19.899999999999999" customHeight="1" x14ac:dyDescent="0.25">
      <c r="A25" s="3">
        <f t="shared" si="0"/>
        <v>23</v>
      </c>
      <c r="B25" s="4">
        <v>740342</v>
      </c>
      <c r="C25" s="86" t="s">
        <v>272</v>
      </c>
      <c r="D25" s="19">
        <v>2640813040</v>
      </c>
      <c r="E25" s="21" t="s">
        <v>312</v>
      </c>
      <c r="F25" s="52" t="s">
        <v>390</v>
      </c>
      <c r="G25" s="70" t="s">
        <v>396</v>
      </c>
      <c r="H25" s="21" t="s">
        <v>11</v>
      </c>
      <c r="I25" s="21" t="s">
        <v>381</v>
      </c>
      <c r="J25" s="8" t="s">
        <v>414</v>
      </c>
      <c r="K25" s="31"/>
    </row>
    <row r="26" spans="1:11" s="2" customFormat="1" ht="19.899999999999999" customHeight="1" x14ac:dyDescent="0.25">
      <c r="A26" s="3">
        <f t="shared" si="0"/>
        <v>24</v>
      </c>
      <c r="B26" s="4">
        <v>740348</v>
      </c>
      <c r="C26" s="86" t="s">
        <v>286</v>
      </c>
      <c r="D26" s="5">
        <v>2641293556</v>
      </c>
      <c r="E26" s="11" t="s">
        <v>288</v>
      </c>
      <c r="F26" s="50" t="s">
        <v>390</v>
      </c>
      <c r="G26" s="66" t="s">
        <v>396</v>
      </c>
      <c r="H26" s="8" t="s">
        <v>11</v>
      </c>
      <c r="I26" s="21" t="s">
        <v>381</v>
      </c>
      <c r="J26" s="8" t="s">
        <v>432</v>
      </c>
      <c r="K26" s="31"/>
    </row>
    <row r="27" spans="1:11" ht="19.899999999999999" customHeight="1" x14ac:dyDescent="0.25">
      <c r="A27" s="3">
        <f t="shared" si="0"/>
        <v>25</v>
      </c>
      <c r="B27" s="4">
        <v>740298</v>
      </c>
      <c r="C27" s="86" t="s">
        <v>200</v>
      </c>
      <c r="D27" s="5">
        <v>2634809806</v>
      </c>
      <c r="E27" s="11" t="s">
        <v>314</v>
      </c>
      <c r="F27" s="50" t="s">
        <v>390</v>
      </c>
      <c r="G27" s="66" t="s">
        <v>396</v>
      </c>
      <c r="H27" s="8" t="s">
        <v>11</v>
      </c>
      <c r="I27" s="21" t="s">
        <v>381</v>
      </c>
      <c r="J27" s="8" t="s">
        <v>325</v>
      </c>
      <c r="K27" s="29"/>
    </row>
    <row r="28" spans="1:11" ht="19.899999999999999" customHeight="1" x14ac:dyDescent="0.25">
      <c r="A28" s="3">
        <f t="shared" si="0"/>
        <v>26</v>
      </c>
      <c r="B28" s="4">
        <v>740177</v>
      </c>
      <c r="C28" s="86" t="s">
        <v>16</v>
      </c>
      <c r="D28" s="5">
        <v>2513504346</v>
      </c>
      <c r="E28" s="8" t="s">
        <v>13</v>
      </c>
      <c r="F28" s="6" t="s">
        <v>390</v>
      </c>
      <c r="G28" s="67" t="s">
        <v>398</v>
      </c>
      <c r="H28" s="8" t="s">
        <v>11</v>
      </c>
      <c r="I28" s="8" t="s">
        <v>12</v>
      </c>
      <c r="J28" s="8" t="s">
        <v>409</v>
      </c>
      <c r="K28" s="30"/>
    </row>
    <row r="29" spans="1:11" ht="19.899999999999999" customHeight="1" x14ac:dyDescent="0.25">
      <c r="A29" s="3">
        <f t="shared" si="0"/>
        <v>27</v>
      </c>
      <c r="B29" s="4">
        <v>740070</v>
      </c>
      <c r="C29" s="86" t="s">
        <v>10</v>
      </c>
      <c r="D29" s="19">
        <v>2391086259</v>
      </c>
      <c r="E29" s="21" t="s">
        <v>13</v>
      </c>
      <c r="F29" s="6" t="s">
        <v>390</v>
      </c>
      <c r="G29" s="67" t="s">
        <v>398</v>
      </c>
      <c r="H29" s="21" t="s">
        <v>11</v>
      </c>
      <c r="I29" s="21" t="s">
        <v>12</v>
      </c>
      <c r="J29" s="22" t="s">
        <v>444</v>
      </c>
      <c r="K29" s="32"/>
    </row>
    <row r="30" spans="1:11" ht="19.899999999999999" customHeight="1" x14ac:dyDescent="0.25">
      <c r="A30" s="3">
        <f t="shared" si="0"/>
        <v>28</v>
      </c>
      <c r="B30" s="4">
        <v>740256</v>
      </c>
      <c r="C30" s="86" t="s">
        <v>91</v>
      </c>
      <c r="D30" s="19">
        <v>2612451746</v>
      </c>
      <c r="E30" s="21" t="s">
        <v>13</v>
      </c>
      <c r="F30" s="6" t="s">
        <v>390</v>
      </c>
      <c r="G30" s="67" t="s">
        <v>398</v>
      </c>
      <c r="H30" s="21" t="s">
        <v>20</v>
      </c>
      <c r="I30" s="21" t="s">
        <v>12</v>
      </c>
      <c r="J30" s="22" t="s">
        <v>413</v>
      </c>
      <c r="K30" s="29"/>
    </row>
    <row r="31" spans="1:11" ht="19.899999999999999" customHeight="1" x14ac:dyDescent="0.25">
      <c r="A31" s="3">
        <f t="shared" si="0"/>
        <v>29</v>
      </c>
      <c r="B31" s="4">
        <v>740281</v>
      </c>
      <c r="C31" s="86" t="s">
        <v>179</v>
      </c>
      <c r="D31" s="19">
        <v>2630377923</v>
      </c>
      <c r="E31" s="20" t="s">
        <v>13</v>
      </c>
      <c r="F31" s="50" t="s">
        <v>390</v>
      </c>
      <c r="G31" s="66" t="s">
        <v>398</v>
      </c>
      <c r="H31" s="21" t="s">
        <v>20</v>
      </c>
      <c r="I31" s="24" t="s">
        <v>12</v>
      </c>
      <c r="J31" s="22" t="s">
        <v>413</v>
      </c>
      <c r="K31" s="29"/>
    </row>
    <row r="32" spans="1:11" ht="19.899999999999999" customHeight="1" x14ac:dyDescent="0.25">
      <c r="A32" s="3">
        <f t="shared" si="0"/>
        <v>30</v>
      </c>
      <c r="B32" s="4">
        <v>740286</v>
      </c>
      <c r="C32" s="86" t="s">
        <v>190</v>
      </c>
      <c r="D32" s="51">
        <v>2634810606</v>
      </c>
      <c r="E32" s="20" t="s">
        <v>187</v>
      </c>
      <c r="F32" s="6" t="s">
        <v>390</v>
      </c>
      <c r="G32" s="67" t="s">
        <v>398</v>
      </c>
      <c r="H32" s="21" t="s">
        <v>11</v>
      </c>
      <c r="I32" s="21" t="s">
        <v>12</v>
      </c>
      <c r="J32" s="9" t="s">
        <v>414</v>
      </c>
      <c r="K32" s="29"/>
    </row>
    <row r="33" spans="1:11" ht="19.899999999999999" customHeight="1" x14ac:dyDescent="0.25">
      <c r="A33" s="3">
        <f t="shared" si="0"/>
        <v>31</v>
      </c>
      <c r="B33" s="4">
        <v>740289</v>
      </c>
      <c r="C33" s="86" t="s">
        <v>193</v>
      </c>
      <c r="D33" s="19">
        <v>2634807693</v>
      </c>
      <c r="E33" s="20" t="s">
        <v>189</v>
      </c>
      <c r="F33" s="6" t="s">
        <v>390</v>
      </c>
      <c r="G33" s="67" t="s">
        <v>398</v>
      </c>
      <c r="H33" s="21" t="s">
        <v>11</v>
      </c>
      <c r="I33" s="21" t="s">
        <v>381</v>
      </c>
      <c r="J33" s="8" t="s">
        <v>414</v>
      </c>
      <c r="K33" s="31"/>
    </row>
    <row r="34" spans="1:11" s="2" customFormat="1" ht="19.899999999999999" customHeight="1" x14ac:dyDescent="0.25">
      <c r="A34" s="3">
        <f t="shared" si="0"/>
        <v>32</v>
      </c>
      <c r="B34" s="4">
        <v>740290</v>
      </c>
      <c r="C34" s="86" t="s">
        <v>194</v>
      </c>
      <c r="D34" s="19">
        <v>2634810515</v>
      </c>
      <c r="E34" s="20" t="s">
        <v>188</v>
      </c>
      <c r="F34" s="50" t="s">
        <v>390</v>
      </c>
      <c r="G34" s="66" t="s">
        <v>398</v>
      </c>
      <c r="H34" s="21" t="s">
        <v>11</v>
      </c>
      <c r="I34" s="21" t="s">
        <v>381</v>
      </c>
      <c r="J34" s="8" t="s">
        <v>414</v>
      </c>
      <c r="K34" s="29"/>
    </row>
    <row r="35" spans="1:11" s="2" customFormat="1" ht="19.899999999999999" customHeight="1" x14ac:dyDescent="0.25">
      <c r="A35" s="3">
        <f t="shared" si="0"/>
        <v>33</v>
      </c>
      <c r="B35" s="4">
        <v>740291</v>
      </c>
      <c r="C35" s="86" t="s">
        <v>195</v>
      </c>
      <c r="D35" s="51">
        <v>2634806901</v>
      </c>
      <c r="E35" s="20" t="s">
        <v>280</v>
      </c>
      <c r="F35" s="60" t="s">
        <v>390</v>
      </c>
      <c r="G35" s="87" t="s">
        <v>398</v>
      </c>
      <c r="H35" s="23" t="s">
        <v>11</v>
      </c>
      <c r="I35" s="21" t="s">
        <v>381</v>
      </c>
      <c r="J35" s="8" t="s">
        <v>414</v>
      </c>
      <c r="K35" s="31"/>
    </row>
    <row r="36" spans="1:11" ht="19.899999999999999" customHeight="1" x14ac:dyDescent="0.25">
      <c r="A36" s="3">
        <f t="shared" si="0"/>
        <v>34</v>
      </c>
      <c r="B36" s="4">
        <v>740300</v>
      </c>
      <c r="C36" s="86" t="s">
        <v>202</v>
      </c>
      <c r="D36" s="19">
        <v>2634810796</v>
      </c>
      <c r="E36" s="20" t="s">
        <v>282</v>
      </c>
      <c r="F36" s="6" t="s">
        <v>390</v>
      </c>
      <c r="G36" s="67" t="s">
        <v>398</v>
      </c>
      <c r="H36" s="21" t="s">
        <v>11</v>
      </c>
      <c r="I36" s="21" t="s">
        <v>12</v>
      </c>
      <c r="J36" s="8" t="s">
        <v>391</v>
      </c>
      <c r="K36" s="45"/>
    </row>
    <row r="37" spans="1:11" ht="19.899999999999999" customHeight="1" x14ac:dyDescent="0.25">
      <c r="A37" s="3">
        <f t="shared" si="0"/>
        <v>35</v>
      </c>
      <c r="B37" s="4">
        <v>740335</v>
      </c>
      <c r="C37" s="86" t="s">
        <v>270</v>
      </c>
      <c r="D37" s="19">
        <v>2640811820</v>
      </c>
      <c r="E37" s="21" t="s">
        <v>78</v>
      </c>
      <c r="F37" s="50" t="s">
        <v>390</v>
      </c>
      <c r="G37" s="66" t="s">
        <v>398</v>
      </c>
      <c r="H37" s="21" t="s">
        <v>11</v>
      </c>
      <c r="I37" s="21" t="s">
        <v>381</v>
      </c>
      <c r="J37" s="8" t="s">
        <v>414</v>
      </c>
      <c r="K37" s="49"/>
    </row>
    <row r="38" spans="1:11" ht="19.899999999999999" customHeight="1" x14ac:dyDescent="0.25">
      <c r="A38" s="3">
        <f t="shared" si="0"/>
        <v>36</v>
      </c>
      <c r="B38" s="4">
        <v>740351</v>
      </c>
      <c r="C38" s="86" t="s">
        <v>291</v>
      </c>
      <c r="D38" s="5">
        <v>2641293184</v>
      </c>
      <c r="E38" s="11" t="s">
        <v>294</v>
      </c>
      <c r="F38" s="50" t="s">
        <v>390</v>
      </c>
      <c r="G38" s="67" t="s">
        <v>398</v>
      </c>
      <c r="H38" s="8" t="s">
        <v>11</v>
      </c>
      <c r="I38" s="21" t="s">
        <v>381</v>
      </c>
      <c r="J38" s="8" t="s">
        <v>476</v>
      </c>
      <c r="K38" s="49"/>
    </row>
    <row r="39" spans="1:11" ht="19.899999999999999" customHeight="1" x14ac:dyDescent="0.25">
      <c r="A39" s="3">
        <f t="shared" si="0"/>
        <v>37</v>
      </c>
      <c r="B39" s="4">
        <v>740161</v>
      </c>
      <c r="C39" s="86" t="s">
        <v>19</v>
      </c>
      <c r="D39" s="5">
        <v>2429923739</v>
      </c>
      <c r="E39" s="8" t="s">
        <v>13</v>
      </c>
      <c r="F39" s="50" t="s">
        <v>390</v>
      </c>
      <c r="G39" s="66" t="s">
        <v>398</v>
      </c>
      <c r="H39" s="8" t="s">
        <v>20</v>
      </c>
      <c r="I39" s="8" t="s">
        <v>12</v>
      </c>
      <c r="J39" s="8" t="s">
        <v>181</v>
      </c>
      <c r="K39" s="28"/>
    </row>
    <row r="40" spans="1:11" ht="19.899999999999999" customHeight="1" x14ac:dyDescent="0.25">
      <c r="A40" s="3">
        <f t="shared" si="0"/>
        <v>38</v>
      </c>
      <c r="B40" s="4">
        <v>740255</v>
      </c>
      <c r="C40" s="86" t="s">
        <v>90</v>
      </c>
      <c r="D40" s="19">
        <v>2612239687</v>
      </c>
      <c r="E40" s="21" t="s">
        <v>13</v>
      </c>
      <c r="F40" s="50" t="s">
        <v>390</v>
      </c>
      <c r="G40" s="66" t="s">
        <v>398</v>
      </c>
      <c r="H40" s="21" t="s">
        <v>20</v>
      </c>
      <c r="I40" s="21" t="s">
        <v>12</v>
      </c>
      <c r="J40" s="8" t="s">
        <v>181</v>
      </c>
      <c r="K40" s="28"/>
    </row>
    <row r="41" spans="1:11" ht="19.899999999999999" customHeight="1" x14ac:dyDescent="0.25">
      <c r="A41" s="3">
        <f t="shared" si="0"/>
        <v>39</v>
      </c>
      <c r="B41" s="4">
        <v>740272</v>
      </c>
      <c r="C41" s="86" t="s">
        <v>158</v>
      </c>
      <c r="D41" s="5">
        <v>2626249060</v>
      </c>
      <c r="E41" s="8" t="s">
        <v>13</v>
      </c>
      <c r="F41" s="50" t="s">
        <v>390</v>
      </c>
      <c r="G41" s="66" t="s">
        <v>398</v>
      </c>
      <c r="H41" s="8" t="s">
        <v>20</v>
      </c>
      <c r="I41" s="8" t="s">
        <v>12</v>
      </c>
      <c r="J41" s="9" t="s">
        <v>181</v>
      </c>
      <c r="K41" s="28"/>
    </row>
    <row r="42" spans="1:11" ht="19.899999999999999" customHeight="1" x14ac:dyDescent="0.25">
      <c r="A42" s="3">
        <f t="shared" si="0"/>
        <v>40</v>
      </c>
      <c r="B42" s="4">
        <v>710100</v>
      </c>
      <c r="C42" s="86" t="s">
        <v>154</v>
      </c>
      <c r="D42" s="5">
        <v>1106031196</v>
      </c>
      <c r="E42" s="8" t="s">
        <v>84</v>
      </c>
      <c r="F42" s="6" t="s">
        <v>390</v>
      </c>
      <c r="G42" s="67" t="s">
        <v>398</v>
      </c>
      <c r="H42" s="8" t="s">
        <v>45</v>
      </c>
      <c r="I42" s="8" t="s">
        <v>12</v>
      </c>
      <c r="J42" s="9" t="s">
        <v>414</v>
      </c>
      <c r="K42" s="28"/>
    </row>
    <row r="43" spans="1:11" ht="19.899999999999999" customHeight="1" x14ac:dyDescent="0.25">
      <c r="A43" s="3">
        <f t="shared" si="0"/>
        <v>41</v>
      </c>
      <c r="B43" s="4">
        <v>710102</v>
      </c>
      <c r="C43" s="86" t="s">
        <v>182</v>
      </c>
      <c r="D43" s="5">
        <v>1096276686</v>
      </c>
      <c r="E43" s="8" t="s">
        <v>78</v>
      </c>
      <c r="F43" s="50" t="s">
        <v>390</v>
      </c>
      <c r="G43" s="66" t="s">
        <v>398</v>
      </c>
      <c r="H43" s="8" t="s">
        <v>45</v>
      </c>
      <c r="I43" s="8" t="s">
        <v>12</v>
      </c>
      <c r="J43" s="9" t="s">
        <v>414</v>
      </c>
      <c r="K43" s="28"/>
    </row>
    <row r="44" spans="1:11" ht="19.899999999999999" customHeight="1" x14ac:dyDescent="0.25">
      <c r="A44" s="3">
        <f t="shared" si="0"/>
        <v>42</v>
      </c>
      <c r="B44" s="4">
        <v>710122</v>
      </c>
      <c r="C44" s="86" t="s">
        <v>324</v>
      </c>
      <c r="D44" s="5">
        <v>1131379909</v>
      </c>
      <c r="E44" s="8" t="s">
        <v>78</v>
      </c>
      <c r="F44" s="6" t="s">
        <v>390</v>
      </c>
      <c r="G44" s="67" t="s">
        <v>398</v>
      </c>
      <c r="H44" s="8" t="s">
        <v>45</v>
      </c>
      <c r="I44" s="8" t="s">
        <v>12</v>
      </c>
      <c r="J44" s="9" t="s">
        <v>414</v>
      </c>
      <c r="K44" s="28"/>
    </row>
    <row r="45" spans="1:11" ht="19.899999999999999" customHeight="1" x14ac:dyDescent="0.25">
      <c r="A45" s="3">
        <f t="shared" si="0"/>
        <v>43</v>
      </c>
      <c r="B45" s="4">
        <v>740122</v>
      </c>
      <c r="C45" s="86" t="s">
        <v>15</v>
      </c>
      <c r="D45" s="35">
        <v>2341142715</v>
      </c>
      <c r="E45" s="8" t="s">
        <v>13</v>
      </c>
      <c r="F45" s="6" t="s">
        <v>390</v>
      </c>
      <c r="G45" s="67" t="s">
        <v>398</v>
      </c>
      <c r="H45" s="8" t="s">
        <v>11</v>
      </c>
      <c r="I45" s="8" t="s">
        <v>12</v>
      </c>
      <c r="J45" s="21" t="s">
        <v>444</v>
      </c>
      <c r="K45" s="63"/>
    </row>
    <row r="46" spans="1:11" ht="19.899999999999999" customHeight="1" x14ac:dyDescent="0.25">
      <c r="A46" s="3">
        <f t="shared" si="0"/>
        <v>44</v>
      </c>
      <c r="B46" s="4">
        <v>740187</v>
      </c>
      <c r="C46" s="86" t="s">
        <v>79</v>
      </c>
      <c r="D46" s="5">
        <v>2527037465</v>
      </c>
      <c r="E46" s="8" t="s">
        <v>80</v>
      </c>
      <c r="F46" s="6" t="s">
        <v>390</v>
      </c>
      <c r="G46" s="67" t="s">
        <v>398</v>
      </c>
      <c r="H46" s="8" t="s">
        <v>11</v>
      </c>
      <c r="I46" s="8" t="s">
        <v>12</v>
      </c>
      <c r="J46" s="9" t="s">
        <v>476</v>
      </c>
      <c r="K46" s="88"/>
    </row>
    <row r="47" spans="1:11" ht="19.899999999999999" customHeight="1" x14ac:dyDescent="0.25">
      <c r="A47" s="3">
        <f t="shared" si="0"/>
        <v>45</v>
      </c>
      <c r="B47" s="4">
        <v>740219</v>
      </c>
      <c r="C47" s="86" t="s">
        <v>17</v>
      </c>
      <c r="D47" s="19">
        <v>2539416764</v>
      </c>
      <c r="E47" s="21" t="s">
        <v>13</v>
      </c>
      <c r="F47" s="6" t="s">
        <v>390</v>
      </c>
      <c r="G47" s="67" t="s">
        <v>398</v>
      </c>
      <c r="H47" s="21" t="s">
        <v>14</v>
      </c>
      <c r="I47" s="21" t="s">
        <v>12</v>
      </c>
      <c r="J47" s="22" t="s">
        <v>414</v>
      </c>
      <c r="K47" s="88"/>
    </row>
    <row r="48" spans="1:11" ht="19.899999999999999" customHeight="1" x14ac:dyDescent="0.25">
      <c r="A48" s="3">
        <f t="shared" si="0"/>
        <v>46</v>
      </c>
      <c r="B48" s="4">
        <v>740232</v>
      </c>
      <c r="C48" s="86" t="s">
        <v>123</v>
      </c>
      <c r="D48" s="19">
        <v>2562929261</v>
      </c>
      <c r="E48" s="21" t="s">
        <v>22</v>
      </c>
      <c r="F48" s="52" t="s">
        <v>390</v>
      </c>
      <c r="G48" s="70" t="s">
        <v>398</v>
      </c>
      <c r="H48" s="21" t="s">
        <v>23</v>
      </c>
      <c r="I48" s="21" t="s">
        <v>12</v>
      </c>
      <c r="J48" s="8" t="s">
        <v>414</v>
      </c>
      <c r="K48" s="89"/>
    </row>
    <row r="49" spans="1:11" ht="19.899999999999999" customHeight="1" x14ac:dyDescent="0.25">
      <c r="A49" s="3">
        <f t="shared" si="0"/>
        <v>47</v>
      </c>
      <c r="B49" s="4">
        <v>740238</v>
      </c>
      <c r="C49" s="86" t="s">
        <v>18</v>
      </c>
      <c r="D49" s="5">
        <v>2578981017</v>
      </c>
      <c r="E49" s="8" t="s">
        <v>13</v>
      </c>
      <c r="F49" s="6" t="s">
        <v>390</v>
      </c>
      <c r="G49" s="67" t="s">
        <v>398</v>
      </c>
      <c r="H49" s="8" t="s">
        <v>14</v>
      </c>
      <c r="I49" s="12" t="s">
        <v>12</v>
      </c>
      <c r="J49" s="22" t="s">
        <v>414</v>
      </c>
      <c r="K49" s="88"/>
    </row>
    <row r="50" spans="1:11" ht="19.899999999999999" customHeight="1" x14ac:dyDescent="0.25">
      <c r="A50" s="3">
        <f t="shared" si="0"/>
        <v>48</v>
      </c>
      <c r="B50" s="4">
        <v>740264</v>
      </c>
      <c r="C50" s="86" t="s">
        <v>167</v>
      </c>
      <c r="D50" s="5">
        <v>2621878160</v>
      </c>
      <c r="E50" s="8" t="s">
        <v>13</v>
      </c>
      <c r="F50" s="6" t="s">
        <v>390</v>
      </c>
      <c r="G50" s="71" t="s">
        <v>398</v>
      </c>
      <c r="H50" s="8" t="s">
        <v>11</v>
      </c>
      <c r="I50" s="9" t="s">
        <v>12</v>
      </c>
      <c r="J50" s="22" t="s">
        <v>444</v>
      </c>
      <c r="K50" s="88"/>
    </row>
    <row r="51" spans="1:11" ht="19.899999999999999" customHeight="1" x14ac:dyDescent="0.25">
      <c r="A51" s="3">
        <f t="shared" si="0"/>
        <v>49</v>
      </c>
      <c r="B51" s="4">
        <v>740267</v>
      </c>
      <c r="C51" s="86" t="s">
        <v>147</v>
      </c>
      <c r="D51" s="5">
        <v>2621879531</v>
      </c>
      <c r="E51" s="11" t="s">
        <v>151</v>
      </c>
      <c r="F51" s="6" t="s">
        <v>390</v>
      </c>
      <c r="G51" s="67" t="s">
        <v>398</v>
      </c>
      <c r="H51" s="8" t="s">
        <v>11</v>
      </c>
      <c r="I51" s="8" t="s">
        <v>12</v>
      </c>
      <c r="J51" s="8" t="s">
        <v>414</v>
      </c>
      <c r="K51" s="88"/>
    </row>
    <row r="52" spans="1:11" ht="19.899999999999999" customHeight="1" x14ac:dyDescent="0.25">
      <c r="A52" s="3">
        <f t="shared" si="0"/>
        <v>50</v>
      </c>
      <c r="B52" s="4">
        <v>740269</v>
      </c>
      <c r="C52" s="86" t="s">
        <v>149</v>
      </c>
      <c r="D52" s="19">
        <v>2621879069</v>
      </c>
      <c r="E52" s="20" t="s">
        <v>84</v>
      </c>
      <c r="F52" s="8" t="s">
        <v>390</v>
      </c>
      <c r="G52" s="71" t="s">
        <v>398</v>
      </c>
      <c r="H52" s="21" t="s">
        <v>11</v>
      </c>
      <c r="I52" s="21" t="s">
        <v>12</v>
      </c>
      <c r="J52" s="9" t="s">
        <v>414</v>
      </c>
      <c r="K52" s="49"/>
    </row>
    <row r="53" spans="1:11" ht="19.899999999999999" customHeight="1" x14ac:dyDescent="0.25">
      <c r="A53" s="3">
        <f t="shared" si="0"/>
        <v>51</v>
      </c>
      <c r="B53" s="4">
        <v>740271</v>
      </c>
      <c r="C53" s="86" t="s">
        <v>155</v>
      </c>
      <c r="D53" s="19">
        <v>2624118267</v>
      </c>
      <c r="E53" s="21" t="s">
        <v>156</v>
      </c>
      <c r="F53" s="8" t="s">
        <v>390</v>
      </c>
      <c r="G53" s="71" t="s">
        <v>398</v>
      </c>
      <c r="H53" s="21" t="s">
        <v>11</v>
      </c>
      <c r="I53" s="24" t="s">
        <v>12</v>
      </c>
      <c r="J53" s="8" t="s">
        <v>414</v>
      </c>
      <c r="K53" s="89"/>
    </row>
    <row r="54" spans="1:11" ht="19.899999999999999" customHeight="1" x14ac:dyDescent="0.25">
      <c r="A54" s="3">
        <f t="shared" si="0"/>
        <v>52</v>
      </c>
      <c r="B54" s="40">
        <v>740357</v>
      </c>
      <c r="C54" s="86" t="s">
        <v>408</v>
      </c>
      <c r="D54" s="5">
        <v>2643932839</v>
      </c>
      <c r="E54" s="8" t="s">
        <v>417</v>
      </c>
      <c r="F54" s="8" t="s">
        <v>390</v>
      </c>
      <c r="G54" s="71" t="s">
        <v>398</v>
      </c>
      <c r="H54" s="8" t="s">
        <v>11</v>
      </c>
      <c r="I54" s="21" t="s">
        <v>381</v>
      </c>
      <c r="J54" s="8" t="s">
        <v>432</v>
      </c>
      <c r="K54" s="45"/>
    </row>
    <row r="55" spans="1:11" s="2" customFormat="1" ht="19.899999999999999" customHeight="1" x14ac:dyDescent="0.25">
      <c r="A55" s="3">
        <f t="shared" si="0"/>
        <v>53</v>
      </c>
      <c r="B55" s="4">
        <v>740170</v>
      </c>
      <c r="C55" s="86" t="s">
        <v>85</v>
      </c>
      <c r="D55" s="5">
        <v>2521814745</v>
      </c>
      <c r="E55" s="8" t="s">
        <v>86</v>
      </c>
      <c r="F55" s="8" t="s">
        <v>390</v>
      </c>
      <c r="G55" s="71" t="s">
        <v>401</v>
      </c>
      <c r="H55" s="8" t="s">
        <v>23</v>
      </c>
      <c r="I55" s="8" t="s">
        <v>12</v>
      </c>
      <c r="J55" s="8" t="s">
        <v>318</v>
      </c>
      <c r="K55" s="49"/>
    </row>
    <row r="56" spans="1:11" s="2" customFormat="1" ht="19.899999999999999" customHeight="1" x14ac:dyDescent="0.25">
      <c r="A56" s="3">
        <f t="shared" si="0"/>
        <v>54</v>
      </c>
      <c r="B56" s="4">
        <v>740193</v>
      </c>
      <c r="C56" s="86" t="s">
        <v>28</v>
      </c>
      <c r="D56" s="5">
        <v>2527035543</v>
      </c>
      <c r="E56" s="8" t="s">
        <v>25</v>
      </c>
      <c r="F56" s="8" t="s">
        <v>390</v>
      </c>
      <c r="G56" s="72" t="s">
        <v>418</v>
      </c>
      <c r="H56" s="8" t="s">
        <v>11</v>
      </c>
      <c r="I56" s="8" t="s">
        <v>12</v>
      </c>
      <c r="J56" s="21" t="s">
        <v>181</v>
      </c>
      <c r="K56" s="45"/>
    </row>
    <row r="57" spans="1:11" s="2" customFormat="1" ht="19.899999999999999" customHeight="1" x14ac:dyDescent="0.25">
      <c r="A57" s="3">
        <f t="shared" si="0"/>
        <v>55</v>
      </c>
      <c r="B57" s="4">
        <v>740017</v>
      </c>
      <c r="C57" s="86" t="s">
        <v>127</v>
      </c>
      <c r="D57" s="19">
        <v>2329963132</v>
      </c>
      <c r="E57" s="21" t="s">
        <v>176</v>
      </c>
      <c r="F57" s="11" t="s">
        <v>390</v>
      </c>
      <c r="G57" s="72" t="s">
        <v>418</v>
      </c>
      <c r="H57" s="21" t="s">
        <v>11</v>
      </c>
      <c r="I57" s="21" t="s">
        <v>12</v>
      </c>
      <c r="J57" s="9" t="s">
        <v>414</v>
      </c>
      <c r="K57" s="29"/>
    </row>
    <row r="58" spans="1:11" s="2" customFormat="1" ht="19.899999999999999" customHeight="1" x14ac:dyDescent="0.25">
      <c r="A58" s="3">
        <f t="shared" si="0"/>
        <v>56</v>
      </c>
      <c r="B58" s="4">
        <v>740224</v>
      </c>
      <c r="C58" s="86" t="s">
        <v>98</v>
      </c>
      <c r="D58" s="5">
        <v>2572467070</v>
      </c>
      <c r="E58" s="8" t="s">
        <v>99</v>
      </c>
      <c r="F58" s="8" t="s">
        <v>390</v>
      </c>
      <c r="G58" s="72" t="s">
        <v>418</v>
      </c>
      <c r="H58" s="8" t="s">
        <v>11</v>
      </c>
      <c r="I58" s="91" t="s">
        <v>12</v>
      </c>
      <c r="J58" s="9" t="s">
        <v>432</v>
      </c>
      <c r="K58" s="31"/>
    </row>
    <row r="59" spans="1:11" s="2" customFormat="1" ht="19.899999999999999" customHeight="1" x14ac:dyDescent="0.25">
      <c r="A59" s="3">
        <f t="shared" si="0"/>
        <v>57</v>
      </c>
      <c r="B59" s="4">
        <v>740231</v>
      </c>
      <c r="C59" s="86" t="s">
        <v>83</v>
      </c>
      <c r="D59" s="19">
        <v>2562929725</v>
      </c>
      <c r="E59" s="21" t="s">
        <v>455</v>
      </c>
      <c r="F59" s="21" t="s">
        <v>390</v>
      </c>
      <c r="G59" s="72" t="s">
        <v>398</v>
      </c>
      <c r="H59" s="21" t="s">
        <v>23</v>
      </c>
      <c r="I59" s="22" t="s">
        <v>12</v>
      </c>
      <c r="J59" s="9" t="s">
        <v>414</v>
      </c>
      <c r="K59" s="30"/>
    </row>
    <row r="60" spans="1:11" s="2" customFormat="1" ht="19.899999999999999" customHeight="1" x14ac:dyDescent="0.25">
      <c r="A60" s="3">
        <f t="shared" si="0"/>
        <v>58</v>
      </c>
      <c r="B60" s="4">
        <v>740233</v>
      </c>
      <c r="C60" s="86" t="s">
        <v>125</v>
      </c>
      <c r="D60" s="5">
        <v>2562929022</v>
      </c>
      <c r="E60" s="8" t="s">
        <v>175</v>
      </c>
      <c r="F60" s="8" t="s">
        <v>390</v>
      </c>
      <c r="G60" s="72" t="s">
        <v>418</v>
      </c>
      <c r="H60" s="8" t="s">
        <v>23</v>
      </c>
      <c r="I60" s="8" t="s">
        <v>12</v>
      </c>
      <c r="J60" s="9" t="s">
        <v>414</v>
      </c>
      <c r="K60" s="30"/>
    </row>
    <row r="61" spans="1:11" s="2" customFormat="1" ht="19.899999999999999" customHeight="1" x14ac:dyDescent="0.25">
      <c r="A61" s="3">
        <f t="shared" si="0"/>
        <v>59</v>
      </c>
      <c r="B61" s="40">
        <v>740257</v>
      </c>
      <c r="C61" s="86" t="s">
        <v>92</v>
      </c>
      <c r="D61" s="19">
        <v>2612238937</v>
      </c>
      <c r="E61" s="20" t="s">
        <v>93</v>
      </c>
      <c r="F61" s="20" t="s">
        <v>390</v>
      </c>
      <c r="G61" s="72" t="s">
        <v>418</v>
      </c>
      <c r="H61" s="21" t="s">
        <v>20</v>
      </c>
      <c r="I61" s="21" t="s">
        <v>12</v>
      </c>
      <c r="J61" s="9" t="s">
        <v>414</v>
      </c>
      <c r="K61" s="31"/>
    </row>
    <row r="62" spans="1:11" s="2" customFormat="1" ht="19.899999999999999" customHeight="1" x14ac:dyDescent="0.25">
      <c r="A62" s="3">
        <f t="shared" si="0"/>
        <v>60</v>
      </c>
      <c r="B62" s="4">
        <v>740261</v>
      </c>
      <c r="C62" s="86" t="s">
        <v>97</v>
      </c>
      <c r="D62" s="5">
        <v>2612237962</v>
      </c>
      <c r="E62" s="11" t="s">
        <v>93</v>
      </c>
      <c r="F62" s="11" t="s">
        <v>390</v>
      </c>
      <c r="G62" s="72" t="s">
        <v>418</v>
      </c>
      <c r="H62" s="8" t="s">
        <v>20</v>
      </c>
      <c r="I62" s="8" t="s">
        <v>12</v>
      </c>
      <c r="J62" s="9" t="s">
        <v>432</v>
      </c>
      <c r="K62" s="31"/>
    </row>
    <row r="63" spans="1:11" s="2" customFormat="1" ht="19.899999999999999" customHeight="1" x14ac:dyDescent="0.25">
      <c r="A63" s="3">
        <f t="shared" si="0"/>
        <v>61</v>
      </c>
      <c r="B63" s="4">
        <v>740280</v>
      </c>
      <c r="C63" s="86" t="s">
        <v>180</v>
      </c>
      <c r="D63" s="19">
        <v>2630377790</v>
      </c>
      <c r="E63" s="20" t="s">
        <v>184</v>
      </c>
      <c r="F63" s="20" t="s">
        <v>390</v>
      </c>
      <c r="G63" s="72" t="s">
        <v>418</v>
      </c>
      <c r="H63" s="21" t="s">
        <v>20</v>
      </c>
      <c r="I63" s="21" t="s">
        <v>12</v>
      </c>
      <c r="J63" s="9" t="s">
        <v>432</v>
      </c>
      <c r="K63" s="31"/>
    </row>
    <row r="64" spans="1:11" s="2" customFormat="1" ht="19.899999999999999" customHeight="1" x14ac:dyDescent="0.25">
      <c r="A64" s="3">
        <f t="shared" si="0"/>
        <v>62</v>
      </c>
      <c r="B64" s="4">
        <v>740282</v>
      </c>
      <c r="C64" s="86" t="s">
        <v>177</v>
      </c>
      <c r="D64" s="19">
        <v>2630378210</v>
      </c>
      <c r="E64" s="20" t="s">
        <v>93</v>
      </c>
      <c r="F64" s="20" t="s">
        <v>390</v>
      </c>
      <c r="G64" s="72" t="s">
        <v>418</v>
      </c>
      <c r="H64" s="21" t="s">
        <v>20</v>
      </c>
      <c r="I64" s="21" t="s">
        <v>12</v>
      </c>
      <c r="J64" s="9" t="s">
        <v>432</v>
      </c>
      <c r="K64" s="31"/>
    </row>
    <row r="65" spans="1:11" s="2" customFormat="1" ht="19.899999999999999" customHeight="1" x14ac:dyDescent="0.25">
      <c r="A65" s="3">
        <f t="shared" si="0"/>
        <v>63</v>
      </c>
      <c r="B65" s="4">
        <v>740194</v>
      </c>
      <c r="C65" s="86" t="s">
        <v>29</v>
      </c>
      <c r="D65" s="5">
        <v>2527032961</v>
      </c>
      <c r="E65" s="8" t="s">
        <v>25</v>
      </c>
      <c r="F65" s="11" t="s">
        <v>390</v>
      </c>
      <c r="G65" s="72" t="s">
        <v>418</v>
      </c>
      <c r="H65" s="8" t="s">
        <v>11</v>
      </c>
      <c r="I65" s="8" t="s">
        <v>12</v>
      </c>
      <c r="J65" s="8" t="s">
        <v>475</v>
      </c>
      <c r="K65" s="29" t="s">
        <v>472</v>
      </c>
    </row>
    <row r="66" spans="1:11" s="2" customFormat="1" ht="19.899999999999999" customHeight="1" x14ac:dyDescent="0.25">
      <c r="A66" s="3">
        <f t="shared" si="0"/>
        <v>64</v>
      </c>
      <c r="B66" s="4">
        <v>740214</v>
      </c>
      <c r="C66" s="86" t="s">
        <v>30</v>
      </c>
      <c r="D66" s="5">
        <v>2527032367</v>
      </c>
      <c r="E66" s="8" t="s">
        <v>25</v>
      </c>
      <c r="F66" s="11" t="s">
        <v>390</v>
      </c>
      <c r="G66" s="72" t="s">
        <v>418</v>
      </c>
      <c r="H66" s="8" t="s">
        <v>11</v>
      </c>
      <c r="I66" s="8" t="s">
        <v>12</v>
      </c>
      <c r="J66" s="8" t="s">
        <v>181</v>
      </c>
      <c r="K66" s="29"/>
    </row>
    <row r="67" spans="1:11" s="2" customFormat="1" ht="19.899999999999999" customHeight="1" x14ac:dyDescent="0.25">
      <c r="A67" s="3">
        <f t="shared" si="0"/>
        <v>65</v>
      </c>
      <c r="B67" s="4">
        <v>740234</v>
      </c>
      <c r="C67" s="86" t="s">
        <v>21</v>
      </c>
      <c r="D67" s="5">
        <v>2562929519</v>
      </c>
      <c r="E67" s="8" t="s">
        <v>25</v>
      </c>
      <c r="F67" s="11" t="s">
        <v>390</v>
      </c>
      <c r="G67" s="72" t="s">
        <v>418</v>
      </c>
      <c r="H67" s="8" t="s">
        <v>23</v>
      </c>
      <c r="I67" s="8" t="s">
        <v>12</v>
      </c>
      <c r="J67" s="8" t="s">
        <v>137</v>
      </c>
      <c r="K67" s="29"/>
    </row>
    <row r="68" spans="1:11" s="2" customFormat="1" ht="19.899999999999999" customHeight="1" x14ac:dyDescent="0.25">
      <c r="A68" s="3">
        <f t="shared" ref="A68:A131" si="1">ROW()-2</f>
        <v>66</v>
      </c>
      <c r="B68" s="4">
        <v>740235</v>
      </c>
      <c r="C68" s="86" t="s">
        <v>126</v>
      </c>
      <c r="D68" s="5">
        <v>2562930301</v>
      </c>
      <c r="E68" s="8" t="s">
        <v>419</v>
      </c>
      <c r="F68" s="11" t="s">
        <v>390</v>
      </c>
      <c r="G68" s="72" t="s">
        <v>418</v>
      </c>
      <c r="H68" s="8" t="s">
        <v>23</v>
      </c>
      <c r="I68" s="8" t="s">
        <v>12</v>
      </c>
      <c r="J68" s="8" t="s">
        <v>181</v>
      </c>
      <c r="K68" s="29"/>
    </row>
    <row r="69" spans="1:11" s="2" customFormat="1" ht="19.899999999999999" customHeight="1" x14ac:dyDescent="0.25">
      <c r="A69" s="3">
        <f t="shared" si="1"/>
        <v>67</v>
      </c>
      <c r="B69" s="4">
        <v>740258</v>
      </c>
      <c r="C69" s="86" t="s">
        <v>94</v>
      </c>
      <c r="D69" s="5">
        <v>2612240180</v>
      </c>
      <c r="E69" s="11" t="s">
        <v>302</v>
      </c>
      <c r="F69" s="11" t="s">
        <v>390</v>
      </c>
      <c r="G69" s="72" t="s">
        <v>418</v>
      </c>
      <c r="H69" s="8" t="s">
        <v>20</v>
      </c>
      <c r="I69" s="8" t="s">
        <v>12</v>
      </c>
      <c r="J69" s="8" t="s">
        <v>181</v>
      </c>
      <c r="K69" s="29"/>
    </row>
    <row r="70" spans="1:11" s="2" customFormat="1" ht="19.899999999999999" customHeight="1" x14ac:dyDescent="0.25">
      <c r="A70" s="3">
        <f t="shared" si="1"/>
        <v>68</v>
      </c>
      <c r="B70" s="4">
        <v>740259</v>
      </c>
      <c r="C70" s="86" t="s">
        <v>95</v>
      </c>
      <c r="D70" s="19">
        <v>2612238507</v>
      </c>
      <c r="E70" s="20" t="s">
        <v>303</v>
      </c>
      <c r="F70" s="20" t="s">
        <v>390</v>
      </c>
      <c r="G70" s="72" t="s">
        <v>418</v>
      </c>
      <c r="H70" s="21" t="s">
        <v>20</v>
      </c>
      <c r="I70" s="21" t="s">
        <v>12</v>
      </c>
      <c r="J70" s="9" t="s">
        <v>181</v>
      </c>
      <c r="K70" s="30"/>
    </row>
    <row r="71" spans="1:11" s="2" customFormat="1" ht="19.899999999999999" customHeight="1" x14ac:dyDescent="0.25">
      <c r="A71" s="3">
        <f t="shared" si="1"/>
        <v>69</v>
      </c>
      <c r="B71" s="40">
        <v>740283</v>
      </c>
      <c r="C71" s="86" t="s">
        <v>185</v>
      </c>
      <c r="D71" s="5">
        <v>2630378319</v>
      </c>
      <c r="E71" s="11" t="s">
        <v>300</v>
      </c>
      <c r="F71" s="11" t="s">
        <v>390</v>
      </c>
      <c r="G71" s="72" t="s">
        <v>418</v>
      </c>
      <c r="H71" s="8" t="s">
        <v>20</v>
      </c>
      <c r="I71" s="8" t="s">
        <v>12</v>
      </c>
      <c r="J71" s="8" t="s">
        <v>181</v>
      </c>
      <c r="K71" s="29"/>
    </row>
    <row r="72" spans="1:11" s="2" customFormat="1" ht="19.899999999999999" customHeight="1" x14ac:dyDescent="0.25">
      <c r="A72" s="3">
        <f t="shared" si="1"/>
        <v>70</v>
      </c>
      <c r="B72" s="4">
        <v>740284</v>
      </c>
      <c r="C72" s="86" t="s">
        <v>178</v>
      </c>
      <c r="D72" s="19">
        <v>2630378442</v>
      </c>
      <c r="E72" s="20" t="s">
        <v>183</v>
      </c>
      <c r="F72" s="11" t="s">
        <v>390</v>
      </c>
      <c r="G72" s="72" t="s">
        <v>418</v>
      </c>
      <c r="H72" s="21" t="s">
        <v>20</v>
      </c>
      <c r="I72" s="21" t="s">
        <v>12</v>
      </c>
      <c r="J72" s="21" t="s">
        <v>181</v>
      </c>
      <c r="K72" s="30"/>
    </row>
    <row r="73" spans="1:11" s="2" customFormat="1" ht="19.899999999999999" customHeight="1" x14ac:dyDescent="0.25">
      <c r="A73" s="3">
        <f t="shared" si="1"/>
        <v>71</v>
      </c>
      <c r="B73" s="4">
        <v>740326</v>
      </c>
      <c r="C73" s="86" t="s">
        <v>231</v>
      </c>
      <c r="D73" s="19">
        <v>2634811117</v>
      </c>
      <c r="E73" s="39" t="s">
        <v>304</v>
      </c>
      <c r="F73" s="11" t="s">
        <v>390</v>
      </c>
      <c r="G73" s="72" t="s">
        <v>418</v>
      </c>
      <c r="H73" s="21" t="s">
        <v>11</v>
      </c>
      <c r="I73" s="21" t="s">
        <v>381</v>
      </c>
      <c r="J73" s="21" t="s">
        <v>181</v>
      </c>
      <c r="K73" s="30"/>
    </row>
    <row r="74" spans="1:11" s="2" customFormat="1" ht="19.899999999999999" customHeight="1" x14ac:dyDescent="0.25">
      <c r="A74" s="3">
        <f t="shared" si="1"/>
        <v>72</v>
      </c>
      <c r="B74" s="4">
        <v>740270</v>
      </c>
      <c r="C74" s="86" t="s">
        <v>153</v>
      </c>
      <c r="D74" s="19">
        <v>2623203581</v>
      </c>
      <c r="E74" s="20" t="s">
        <v>93</v>
      </c>
      <c r="F74" s="20" t="s">
        <v>390</v>
      </c>
      <c r="G74" s="72" t="s">
        <v>418</v>
      </c>
      <c r="H74" s="21" t="s">
        <v>11</v>
      </c>
      <c r="I74" s="24" t="s">
        <v>12</v>
      </c>
      <c r="J74" s="8" t="s">
        <v>432</v>
      </c>
      <c r="K74" s="31"/>
    </row>
    <row r="75" spans="1:11" s="2" customFormat="1" ht="19.899999999999999" customHeight="1" x14ac:dyDescent="0.25">
      <c r="A75" s="3">
        <f t="shared" si="1"/>
        <v>73</v>
      </c>
      <c r="B75" s="4">
        <v>740260</v>
      </c>
      <c r="C75" s="86" t="s">
        <v>96</v>
      </c>
      <c r="D75" s="5">
        <v>2612451555</v>
      </c>
      <c r="E75" s="11" t="s">
        <v>301</v>
      </c>
      <c r="F75" s="11" t="s">
        <v>390</v>
      </c>
      <c r="G75" s="72" t="s">
        <v>418</v>
      </c>
      <c r="H75" s="8" t="s">
        <v>20</v>
      </c>
      <c r="I75" s="9" t="s">
        <v>12</v>
      </c>
      <c r="J75" s="9" t="s">
        <v>137</v>
      </c>
      <c r="K75" s="29"/>
    </row>
    <row r="76" spans="1:11" s="2" customFormat="1" ht="19.899999999999999" customHeight="1" x14ac:dyDescent="0.25">
      <c r="A76" s="3">
        <f t="shared" si="1"/>
        <v>74</v>
      </c>
      <c r="B76" s="41">
        <v>740296</v>
      </c>
      <c r="C76" s="86" t="s">
        <v>198</v>
      </c>
      <c r="D76" s="5">
        <v>2634810374</v>
      </c>
      <c r="E76" s="11" t="s">
        <v>42</v>
      </c>
      <c r="F76" s="11" t="s">
        <v>390</v>
      </c>
      <c r="G76" s="65" t="s">
        <v>395</v>
      </c>
      <c r="H76" s="8" t="s">
        <v>11</v>
      </c>
      <c r="I76" s="8" t="s">
        <v>12</v>
      </c>
      <c r="J76" s="6" t="s">
        <v>410</v>
      </c>
      <c r="K76" s="31"/>
    </row>
    <row r="77" spans="1:11" s="2" customFormat="1" ht="19.899999999999999" customHeight="1" x14ac:dyDescent="0.25">
      <c r="A77" s="3">
        <f t="shared" si="1"/>
        <v>75</v>
      </c>
      <c r="B77" s="41">
        <v>740321</v>
      </c>
      <c r="C77" s="86" t="s">
        <v>227</v>
      </c>
      <c r="D77" s="5">
        <v>2634807156</v>
      </c>
      <c r="E77" s="43" t="s">
        <v>42</v>
      </c>
      <c r="F77" s="11" t="s">
        <v>390</v>
      </c>
      <c r="G77" s="65" t="s">
        <v>395</v>
      </c>
      <c r="H77" s="8" t="s">
        <v>11</v>
      </c>
      <c r="I77" s="22" t="s">
        <v>381</v>
      </c>
      <c r="J77" s="6" t="s">
        <v>410</v>
      </c>
      <c r="K77" s="31"/>
    </row>
    <row r="78" spans="1:11" s="2" customFormat="1" ht="19.899999999999999" customHeight="1" x14ac:dyDescent="0.25">
      <c r="A78" s="3">
        <f t="shared" si="1"/>
        <v>76</v>
      </c>
      <c r="B78" s="41">
        <v>740322</v>
      </c>
      <c r="C78" s="86" t="s">
        <v>228</v>
      </c>
      <c r="D78" s="5">
        <v>2634811398</v>
      </c>
      <c r="E78" s="43" t="s">
        <v>42</v>
      </c>
      <c r="F78" s="11" t="s">
        <v>390</v>
      </c>
      <c r="G78" s="65" t="s">
        <v>395</v>
      </c>
      <c r="H78" s="8" t="s">
        <v>11</v>
      </c>
      <c r="I78" s="21" t="s">
        <v>381</v>
      </c>
      <c r="J78" s="6" t="s">
        <v>410</v>
      </c>
      <c r="K78" s="31"/>
    </row>
    <row r="79" spans="1:11" s="2" customFormat="1" ht="19.899999999999999" customHeight="1" x14ac:dyDescent="0.25">
      <c r="A79" s="3">
        <f t="shared" si="1"/>
        <v>77</v>
      </c>
      <c r="B79" s="41">
        <v>740323</v>
      </c>
      <c r="C79" s="86" t="s">
        <v>229</v>
      </c>
      <c r="D79" s="5">
        <v>2634811711</v>
      </c>
      <c r="E79" s="43" t="s">
        <v>42</v>
      </c>
      <c r="F79" s="11" t="s">
        <v>390</v>
      </c>
      <c r="G79" s="65" t="s">
        <v>395</v>
      </c>
      <c r="H79" s="8" t="s">
        <v>11</v>
      </c>
      <c r="I79" s="21" t="s">
        <v>381</v>
      </c>
      <c r="J79" s="6" t="s">
        <v>410</v>
      </c>
      <c r="K79" s="31"/>
    </row>
    <row r="80" spans="1:11" s="2" customFormat="1" ht="19.899999999999999" customHeight="1" x14ac:dyDescent="0.25">
      <c r="A80" s="3">
        <f t="shared" si="1"/>
        <v>78</v>
      </c>
      <c r="B80" s="4">
        <v>740013</v>
      </c>
      <c r="C80" s="86" t="s">
        <v>132</v>
      </c>
      <c r="D80" s="5">
        <v>2318681547</v>
      </c>
      <c r="E80" s="8" t="s">
        <v>174</v>
      </c>
      <c r="F80" s="11" t="s">
        <v>390</v>
      </c>
      <c r="G80" s="65" t="s">
        <v>395</v>
      </c>
      <c r="H80" s="8" t="s">
        <v>11</v>
      </c>
      <c r="I80" s="8" t="s">
        <v>12</v>
      </c>
      <c r="J80" s="9" t="s">
        <v>414</v>
      </c>
      <c r="K80" s="29"/>
    </row>
    <row r="81" spans="1:11" s="2" customFormat="1" ht="19.899999999999999" customHeight="1" x14ac:dyDescent="0.25">
      <c r="A81" s="3">
        <f t="shared" si="1"/>
        <v>79</v>
      </c>
      <c r="B81" s="4">
        <v>740118</v>
      </c>
      <c r="C81" s="86" t="s">
        <v>133</v>
      </c>
      <c r="D81" s="5">
        <v>2312948918</v>
      </c>
      <c r="E81" s="8" t="s">
        <v>165</v>
      </c>
      <c r="F81" s="11" t="s">
        <v>390</v>
      </c>
      <c r="G81" s="65" t="s">
        <v>395</v>
      </c>
      <c r="H81" s="8" t="s">
        <v>20</v>
      </c>
      <c r="I81" s="8" t="s">
        <v>12</v>
      </c>
      <c r="J81" s="8" t="s">
        <v>432</v>
      </c>
      <c r="K81" s="29"/>
    </row>
    <row r="82" spans="1:11" s="2" customFormat="1" ht="19.899999999999999" customHeight="1" x14ac:dyDescent="0.25">
      <c r="A82" s="3">
        <f t="shared" si="1"/>
        <v>80</v>
      </c>
      <c r="B82" s="4">
        <v>740145</v>
      </c>
      <c r="C82" s="86" t="s">
        <v>129</v>
      </c>
      <c r="D82" s="5">
        <v>2452086388</v>
      </c>
      <c r="E82" s="8" t="s">
        <v>174</v>
      </c>
      <c r="F82" s="8" t="s">
        <v>390</v>
      </c>
      <c r="G82" s="71" t="s">
        <v>395</v>
      </c>
      <c r="H82" s="8" t="s">
        <v>23</v>
      </c>
      <c r="I82" s="8" t="s">
        <v>12</v>
      </c>
      <c r="J82" s="8" t="s">
        <v>432</v>
      </c>
      <c r="K82" s="30"/>
    </row>
    <row r="83" spans="1:11" s="2" customFormat="1" ht="19.899999999999999" customHeight="1" x14ac:dyDescent="0.25">
      <c r="A83" s="3">
        <f t="shared" si="1"/>
        <v>81</v>
      </c>
      <c r="B83" s="4">
        <v>740147</v>
      </c>
      <c r="C83" s="86" t="s">
        <v>134</v>
      </c>
      <c r="D83" s="5">
        <v>2126565239</v>
      </c>
      <c r="E83" s="8" t="s">
        <v>135</v>
      </c>
      <c r="F83" s="11" t="s">
        <v>390</v>
      </c>
      <c r="G83" s="65" t="s">
        <v>395</v>
      </c>
      <c r="H83" s="8" t="s">
        <v>23</v>
      </c>
      <c r="I83" s="8" t="s">
        <v>12</v>
      </c>
      <c r="J83" s="9" t="s">
        <v>432</v>
      </c>
      <c r="K83" s="29"/>
    </row>
    <row r="84" spans="1:11" s="2" customFormat="1" ht="19.899999999999999" customHeight="1" x14ac:dyDescent="0.25">
      <c r="A84" s="3">
        <f t="shared" si="1"/>
        <v>82</v>
      </c>
      <c r="B84" s="4">
        <v>740156</v>
      </c>
      <c r="C84" s="86" t="s">
        <v>131</v>
      </c>
      <c r="D84" s="5">
        <v>2481090294</v>
      </c>
      <c r="E84" s="8" t="s">
        <v>172</v>
      </c>
      <c r="F84" s="11" t="s">
        <v>390</v>
      </c>
      <c r="G84" s="65" t="s">
        <v>395</v>
      </c>
      <c r="H84" s="8" t="s">
        <v>11</v>
      </c>
      <c r="I84" s="8" t="s">
        <v>12</v>
      </c>
      <c r="J84" s="9" t="s">
        <v>137</v>
      </c>
      <c r="K84" s="29"/>
    </row>
    <row r="85" spans="1:11" s="2" customFormat="1" ht="19.899999999999999" customHeight="1" x14ac:dyDescent="0.25">
      <c r="A85" s="3">
        <f t="shared" si="1"/>
        <v>83</v>
      </c>
      <c r="B85" s="4">
        <v>740331</v>
      </c>
      <c r="C85" s="86" t="s">
        <v>265</v>
      </c>
      <c r="D85" s="19">
        <v>2640812471</v>
      </c>
      <c r="E85" s="21" t="s">
        <v>42</v>
      </c>
      <c r="F85" s="21" t="s">
        <v>390</v>
      </c>
      <c r="G85" s="72" t="s">
        <v>395</v>
      </c>
      <c r="H85" s="21" t="s">
        <v>11</v>
      </c>
      <c r="I85" s="21" t="s">
        <v>381</v>
      </c>
      <c r="J85" s="9" t="s">
        <v>432</v>
      </c>
      <c r="K85" s="31"/>
    </row>
    <row r="86" spans="1:11" s="2" customFormat="1" ht="19.899999999999999" customHeight="1" x14ac:dyDescent="0.25">
      <c r="A86" s="3">
        <f t="shared" si="1"/>
        <v>84</v>
      </c>
      <c r="B86" s="4">
        <v>740332</v>
      </c>
      <c r="C86" s="86" t="s">
        <v>266</v>
      </c>
      <c r="D86" s="19">
        <v>2640812042</v>
      </c>
      <c r="E86" s="21" t="s">
        <v>42</v>
      </c>
      <c r="F86" s="21" t="s">
        <v>390</v>
      </c>
      <c r="G86" s="72" t="s">
        <v>395</v>
      </c>
      <c r="H86" s="21" t="s">
        <v>11</v>
      </c>
      <c r="I86" s="21" t="s">
        <v>381</v>
      </c>
      <c r="J86" s="8" t="s">
        <v>391</v>
      </c>
      <c r="K86" s="31"/>
    </row>
    <row r="87" spans="1:11" s="2" customFormat="1" ht="19.899999999999999" customHeight="1" x14ac:dyDescent="0.25">
      <c r="A87" s="3">
        <f t="shared" si="1"/>
        <v>85</v>
      </c>
      <c r="B87" s="4">
        <v>740336</v>
      </c>
      <c r="C87" s="86" t="s">
        <v>268</v>
      </c>
      <c r="D87" s="19">
        <v>2640823825</v>
      </c>
      <c r="E87" s="21" t="s">
        <v>152</v>
      </c>
      <c r="F87" s="11" t="s">
        <v>390</v>
      </c>
      <c r="G87" s="65" t="s">
        <v>395</v>
      </c>
      <c r="H87" s="21" t="s">
        <v>11</v>
      </c>
      <c r="I87" s="21" t="s">
        <v>381</v>
      </c>
      <c r="J87" s="8" t="s">
        <v>391</v>
      </c>
      <c r="K87" s="29"/>
    </row>
    <row r="88" spans="1:11" s="2" customFormat="1" ht="19.899999999999999" customHeight="1" x14ac:dyDescent="0.25">
      <c r="A88" s="3">
        <f t="shared" si="1"/>
        <v>86</v>
      </c>
      <c r="B88" s="4">
        <v>740344</v>
      </c>
      <c r="C88" s="86" t="s">
        <v>284</v>
      </c>
      <c r="D88" s="5">
        <v>2641293804</v>
      </c>
      <c r="E88" s="11" t="s">
        <v>289</v>
      </c>
      <c r="F88" s="11" t="s">
        <v>390</v>
      </c>
      <c r="G88" s="65" t="s">
        <v>395</v>
      </c>
      <c r="H88" s="8" t="s">
        <v>11</v>
      </c>
      <c r="I88" s="21" t="s">
        <v>381</v>
      </c>
      <c r="J88" s="8" t="s">
        <v>432</v>
      </c>
      <c r="K88" s="31"/>
    </row>
    <row r="89" spans="1:11" s="2" customFormat="1" ht="19.899999999999999" customHeight="1" x14ac:dyDescent="0.25">
      <c r="A89" s="3">
        <f t="shared" si="1"/>
        <v>87</v>
      </c>
      <c r="B89" s="4">
        <v>740346</v>
      </c>
      <c r="C89" s="86" t="s">
        <v>405</v>
      </c>
      <c r="D89" s="5">
        <v>2641294000</v>
      </c>
      <c r="E89" s="11" t="s">
        <v>152</v>
      </c>
      <c r="F89" s="11" t="s">
        <v>390</v>
      </c>
      <c r="G89" s="65" t="s">
        <v>395</v>
      </c>
      <c r="H89" s="8" t="s">
        <v>11</v>
      </c>
      <c r="I89" s="21" t="s">
        <v>381</v>
      </c>
      <c r="J89" s="9" t="s">
        <v>432</v>
      </c>
      <c r="K89" s="31"/>
    </row>
    <row r="90" spans="1:11" s="2" customFormat="1" ht="19.899999999999999" customHeight="1" x14ac:dyDescent="0.25">
      <c r="A90" s="3">
        <f t="shared" si="1"/>
        <v>88</v>
      </c>
      <c r="B90" s="40">
        <v>740359</v>
      </c>
      <c r="C90" s="86" t="s">
        <v>412</v>
      </c>
      <c r="D90" s="5">
        <v>2642853622</v>
      </c>
      <c r="E90" s="8" t="s">
        <v>411</v>
      </c>
      <c r="F90" s="8" t="s">
        <v>390</v>
      </c>
      <c r="G90" s="71" t="s">
        <v>395</v>
      </c>
      <c r="H90" s="8" t="s">
        <v>11</v>
      </c>
      <c r="I90" s="21" t="s">
        <v>381</v>
      </c>
      <c r="J90" s="9" t="s">
        <v>432</v>
      </c>
      <c r="K90" s="30"/>
    </row>
    <row r="91" spans="1:11" s="2" customFormat="1" ht="19.899999999999999" customHeight="1" x14ac:dyDescent="0.25">
      <c r="A91" s="3">
        <f t="shared" si="1"/>
        <v>89</v>
      </c>
      <c r="B91" s="4">
        <v>740154</v>
      </c>
      <c r="C91" s="86" t="s">
        <v>128</v>
      </c>
      <c r="D91" s="5">
        <v>2473852503</v>
      </c>
      <c r="E91" s="8" t="s">
        <v>173</v>
      </c>
      <c r="F91" s="8" t="s">
        <v>390</v>
      </c>
      <c r="G91" s="71" t="s">
        <v>395</v>
      </c>
      <c r="H91" s="8" t="s">
        <v>11</v>
      </c>
      <c r="I91" s="8" t="s">
        <v>12</v>
      </c>
      <c r="J91" s="9" t="s">
        <v>414</v>
      </c>
      <c r="K91" s="29"/>
    </row>
    <row r="92" spans="1:11" s="2" customFormat="1" ht="19.899999999999999" customHeight="1" x14ac:dyDescent="0.25">
      <c r="A92" s="3">
        <f t="shared" si="1"/>
        <v>90</v>
      </c>
      <c r="B92" s="4">
        <v>740155</v>
      </c>
      <c r="C92" s="86" t="s">
        <v>130</v>
      </c>
      <c r="D92" s="19">
        <v>2475520397</v>
      </c>
      <c r="E92" s="21" t="s">
        <v>42</v>
      </c>
      <c r="F92" s="11" t="s">
        <v>390</v>
      </c>
      <c r="G92" s="65" t="s">
        <v>395</v>
      </c>
      <c r="H92" s="21" t="s">
        <v>11</v>
      </c>
      <c r="I92" s="21" t="s">
        <v>12</v>
      </c>
      <c r="J92" s="9" t="s">
        <v>414</v>
      </c>
      <c r="K92" s="29"/>
    </row>
    <row r="93" spans="1:11" s="2" customFormat="1" ht="19.899999999999999" customHeight="1" x14ac:dyDescent="0.25">
      <c r="A93" s="3">
        <f t="shared" si="1"/>
        <v>91</v>
      </c>
      <c r="B93" s="4">
        <v>740330</v>
      </c>
      <c r="C93" s="86" t="s">
        <v>267</v>
      </c>
      <c r="D93" s="19">
        <v>2640811911</v>
      </c>
      <c r="E93" s="21" t="s">
        <v>323</v>
      </c>
      <c r="F93" s="11" t="s">
        <v>390</v>
      </c>
      <c r="G93" s="65" t="s">
        <v>395</v>
      </c>
      <c r="H93" s="21" t="s">
        <v>11</v>
      </c>
      <c r="I93" s="21" t="s">
        <v>381</v>
      </c>
      <c r="J93" s="22" t="s">
        <v>414</v>
      </c>
      <c r="K93" s="31"/>
    </row>
    <row r="94" spans="1:11" s="2" customFormat="1" ht="19.899999999999999" customHeight="1" x14ac:dyDescent="0.25">
      <c r="A94" s="3">
        <f t="shared" si="1"/>
        <v>92</v>
      </c>
      <c r="B94" s="4">
        <v>740345</v>
      </c>
      <c r="C94" s="86" t="s">
        <v>285</v>
      </c>
      <c r="D94" s="5">
        <v>2641293838</v>
      </c>
      <c r="E94" s="11" t="s">
        <v>289</v>
      </c>
      <c r="F94" s="11" t="s">
        <v>390</v>
      </c>
      <c r="G94" s="65" t="s">
        <v>395</v>
      </c>
      <c r="H94" s="8" t="s">
        <v>11</v>
      </c>
      <c r="I94" s="22" t="s">
        <v>381</v>
      </c>
      <c r="J94" s="9" t="s">
        <v>432</v>
      </c>
      <c r="K94" s="31"/>
    </row>
    <row r="95" spans="1:11" s="2" customFormat="1" ht="19.899999999999999" customHeight="1" x14ac:dyDescent="0.25">
      <c r="A95" s="3">
        <f t="shared" si="1"/>
        <v>93</v>
      </c>
      <c r="B95" s="4">
        <v>740031</v>
      </c>
      <c r="C95" s="86" t="s">
        <v>107</v>
      </c>
      <c r="D95" s="19">
        <v>2345990044</v>
      </c>
      <c r="E95" s="21" t="s">
        <v>108</v>
      </c>
      <c r="F95" s="21" t="s">
        <v>390</v>
      </c>
      <c r="G95" s="72" t="s">
        <v>400</v>
      </c>
      <c r="H95" s="21" t="s">
        <v>34</v>
      </c>
      <c r="I95" s="21" t="s">
        <v>12</v>
      </c>
      <c r="J95" s="9" t="s">
        <v>318</v>
      </c>
      <c r="K95" s="29"/>
    </row>
    <row r="96" spans="1:11" s="2" customFormat="1" ht="19.899999999999999" customHeight="1" x14ac:dyDescent="0.25">
      <c r="A96" s="3">
        <f t="shared" si="1"/>
        <v>94</v>
      </c>
      <c r="B96" s="4">
        <v>740250</v>
      </c>
      <c r="C96" s="86" t="s">
        <v>109</v>
      </c>
      <c r="D96" s="5">
        <v>2612836292</v>
      </c>
      <c r="E96" s="11" t="s">
        <v>404</v>
      </c>
      <c r="F96" s="11" t="s">
        <v>390</v>
      </c>
      <c r="G96" s="71" t="s">
        <v>400</v>
      </c>
      <c r="H96" s="8" t="s">
        <v>11</v>
      </c>
      <c r="I96" s="8" t="s">
        <v>12</v>
      </c>
      <c r="J96" s="22" t="s">
        <v>318</v>
      </c>
      <c r="K96" s="29"/>
    </row>
    <row r="97" spans="1:11" s="2" customFormat="1" ht="19.899999999999999" customHeight="1" x14ac:dyDescent="0.25">
      <c r="A97" s="3">
        <f t="shared" si="1"/>
        <v>95</v>
      </c>
      <c r="B97" s="4">
        <v>740343</v>
      </c>
      <c r="C97" s="86" t="s">
        <v>275</v>
      </c>
      <c r="D97" s="19">
        <v>2640813313</v>
      </c>
      <c r="E97" s="21" t="s">
        <v>278</v>
      </c>
      <c r="F97" s="21" t="s">
        <v>390</v>
      </c>
      <c r="G97" s="72" t="s">
        <v>400</v>
      </c>
      <c r="H97" s="21" t="s">
        <v>11</v>
      </c>
      <c r="I97" s="21" t="s">
        <v>381</v>
      </c>
      <c r="J97" s="9" t="s">
        <v>318</v>
      </c>
      <c r="K97" s="29"/>
    </row>
    <row r="98" spans="1:11" s="2" customFormat="1" ht="19.899999999999999" customHeight="1" x14ac:dyDescent="0.25">
      <c r="A98" s="3">
        <f t="shared" si="1"/>
        <v>96</v>
      </c>
      <c r="B98" s="4">
        <v>740355</v>
      </c>
      <c r="C98" s="86" t="s">
        <v>388</v>
      </c>
      <c r="D98" s="19">
        <v>2641293366</v>
      </c>
      <c r="E98" s="20" t="s">
        <v>387</v>
      </c>
      <c r="F98" s="8" t="s">
        <v>390</v>
      </c>
      <c r="G98" s="71" t="s">
        <v>400</v>
      </c>
      <c r="H98" s="21" t="s">
        <v>11</v>
      </c>
      <c r="I98" s="22" t="s">
        <v>12</v>
      </c>
      <c r="J98" s="9" t="s">
        <v>318</v>
      </c>
      <c r="K98" s="29"/>
    </row>
    <row r="99" spans="1:11" s="2" customFormat="1" ht="19.899999999999999" customHeight="1" x14ac:dyDescent="0.25">
      <c r="A99" s="3">
        <f t="shared" si="1"/>
        <v>97</v>
      </c>
      <c r="B99" s="4">
        <v>740354</v>
      </c>
      <c r="C99" s="86" t="s">
        <v>297</v>
      </c>
      <c r="D99" s="5">
        <v>2641293671</v>
      </c>
      <c r="E99" s="11" t="s">
        <v>298</v>
      </c>
      <c r="F99" s="11" t="s">
        <v>390</v>
      </c>
      <c r="G99" s="65" t="s">
        <v>397</v>
      </c>
      <c r="H99" s="8" t="s">
        <v>11</v>
      </c>
      <c r="I99" s="22" t="s">
        <v>381</v>
      </c>
      <c r="J99" s="9" t="s">
        <v>432</v>
      </c>
      <c r="K99" s="31"/>
    </row>
    <row r="100" spans="1:11" s="2" customFormat="1" ht="19.899999999999999" customHeight="1" x14ac:dyDescent="0.25">
      <c r="A100" s="3">
        <f t="shared" si="1"/>
        <v>98</v>
      </c>
      <c r="B100" s="4">
        <v>740252</v>
      </c>
      <c r="C100" s="86" t="s">
        <v>43</v>
      </c>
      <c r="D100" s="5">
        <v>2579810785</v>
      </c>
      <c r="E100" s="8" t="s">
        <v>40</v>
      </c>
      <c r="F100" s="8" t="s">
        <v>390</v>
      </c>
      <c r="G100" s="65" t="s">
        <v>420</v>
      </c>
      <c r="H100" s="8" t="s">
        <v>11</v>
      </c>
      <c r="I100" s="9" t="s">
        <v>12</v>
      </c>
      <c r="J100" s="9" t="s">
        <v>181</v>
      </c>
      <c r="K100" s="29"/>
    </row>
    <row r="101" spans="1:11" s="2" customFormat="1" ht="19.899999999999999" customHeight="1" x14ac:dyDescent="0.25">
      <c r="A101" s="3">
        <f t="shared" si="1"/>
        <v>99</v>
      </c>
      <c r="B101" s="41">
        <v>810001</v>
      </c>
      <c r="C101" s="58" t="s">
        <v>140</v>
      </c>
      <c r="D101" s="5">
        <v>2484372582</v>
      </c>
      <c r="E101" s="8" t="s">
        <v>40</v>
      </c>
      <c r="F101" s="11" t="s">
        <v>390</v>
      </c>
      <c r="G101" s="65" t="s">
        <v>420</v>
      </c>
      <c r="H101" s="8" t="s">
        <v>11</v>
      </c>
      <c r="I101" s="9" t="s">
        <v>141</v>
      </c>
      <c r="J101" s="9" t="s">
        <v>475</v>
      </c>
      <c r="K101" s="29" t="s">
        <v>472</v>
      </c>
    </row>
    <row r="102" spans="1:11" s="2" customFormat="1" ht="19.899999999999999" customHeight="1" x14ac:dyDescent="0.25">
      <c r="A102" s="3">
        <f t="shared" si="1"/>
        <v>100</v>
      </c>
      <c r="B102" s="41">
        <v>810002</v>
      </c>
      <c r="C102" s="58" t="s">
        <v>439</v>
      </c>
      <c r="D102" s="5">
        <v>2616247223</v>
      </c>
      <c r="E102" s="8" t="s">
        <v>40</v>
      </c>
      <c r="F102" s="11" t="s">
        <v>390</v>
      </c>
      <c r="G102" s="65" t="s">
        <v>420</v>
      </c>
      <c r="H102" s="8" t="s">
        <v>14</v>
      </c>
      <c r="I102" s="9" t="s">
        <v>141</v>
      </c>
      <c r="J102" s="9" t="s">
        <v>181</v>
      </c>
      <c r="K102" s="29"/>
    </row>
    <row r="103" spans="1:11" s="2" customFormat="1" ht="19.899999999999999" customHeight="1" x14ac:dyDescent="0.25">
      <c r="A103" s="3">
        <f t="shared" si="1"/>
        <v>101</v>
      </c>
      <c r="B103" s="41">
        <v>810003</v>
      </c>
      <c r="C103" s="58" t="s">
        <v>441</v>
      </c>
      <c r="D103" s="5">
        <v>2579990210</v>
      </c>
      <c r="E103" s="8" t="s">
        <v>13</v>
      </c>
      <c r="F103" s="11" t="s">
        <v>390</v>
      </c>
      <c r="G103" s="65" t="s">
        <v>398</v>
      </c>
      <c r="H103" s="8" t="s">
        <v>14</v>
      </c>
      <c r="I103" s="8" t="s">
        <v>141</v>
      </c>
      <c r="J103" s="9" t="s">
        <v>444</v>
      </c>
      <c r="K103" s="29"/>
    </row>
    <row r="104" spans="1:11" s="2" customFormat="1" ht="19.899999999999999" customHeight="1" x14ac:dyDescent="0.25">
      <c r="A104" s="3">
        <f t="shared" si="1"/>
        <v>102</v>
      </c>
      <c r="B104" s="41">
        <v>810004</v>
      </c>
      <c r="C104" s="58" t="s">
        <v>442</v>
      </c>
      <c r="D104" s="5">
        <v>2530093372</v>
      </c>
      <c r="E104" s="8" t="s">
        <v>13</v>
      </c>
      <c r="F104" s="11" t="s">
        <v>390</v>
      </c>
      <c r="G104" s="65" t="s">
        <v>398</v>
      </c>
      <c r="H104" s="8" t="s">
        <v>14</v>
      </c>
      <c r="I104" s="8" t="s">
        <v>141</v>
      </c>
      <c r="J104" s="9" t="s">
        <v>444</v>
      </c>
      <c r="K104" s="29"/>
    </row>
    <row r="105" spans="1:11" s="2" customFormat="1" ht="19.899999999999999" customHeight="1" x14ac:dyDescent="0.25">
      <c r="A105" s="3">
        <f t="shared" si="1"/>
        <v>103</v>
      </c>
      <c r="B105" s="41">
        <v>810005</v>
      </c>
      <c r="C105" s="58" t="s">
        <v>443</v>
      </c>
      <c r="D105" s="5">
        <v>2541900276</v>
      </c>
      <c r="E105" s="8" t="s">
        <v>13</v>
      </c>
      <c r="F105" s="11" t="s">
        <v>390</v>
      </c>
      <c r="G105" s="65" t="s">
        <v>398</v>
      </c>
      <c r="H105" s="8" t="s">
        <v>14</v>
      </c>
      <c r="I105" s="8" t="s">
        <v>141</v>
      </c>
      <c r="J105" s="9" t="s">
        <v>444</v>
      </c>
      <c r="K105" s="29"/>
    </row>
    <row r="106" spans="1:11" s="2" customFormat="1" ht="19.899999999999999" customHeight="1" x14ac:dyDescent="0.25">
      <c r="A106" s="3">
        <f t="shared" si="1"/>
        <v>104</v>
      </c>
      <c r="B106" s="41">
        <v>810006</v>
      </c>
      <c r="C106" s="58" t="s">
        <v>453</v>
      </c>
      <c r="D106" s="5">
        <v>2534437146</v>
      </c>
      <c r="E106" s="8" t="s">
        <v>13</v>
      </c>
      <c r="F106" s="11" t="s">
        <v>390</v>
      </c>
      <c r="G106" s="65" t="s">
        <v>398</v>
      </c>
      <c r="H106" s="8" t="s">
        <v>14</v>
      </c>
      <c r="I106" s="8" t="s">
        <v>141</v>
      </c>
      <c r="J106" s="9" t="s">
        <v>444</v>
      </c>
      <c r="K106" s="29"/>
    </row>
    <row r="107" spans="1:11" s="2" customFormat="1" ht="19.899999999999999" customHeight="1" x14ac:dyDescent="0.25">
      <c r="A107" s="3">
        <f t="shared" si="1"/>
        <v>105</v>
      </c>
      <c r="B107" s="41">
        <v>810007</v>
      </c>
      <c r="C107" s="58" t="s">
        <v>454</v>
      </c>
      <c r="D107" s="5">
        <v>2541356289</v>
      </c>
      <c r="E107" s="8" t="s">
        <v>13</v>
      </c>
      <c r="F107" s="11" t="s">
        <v>390</v>
      </c>
      <c r="G107" s="65" t="s">
        <v>398</v>
      </c>
      <c r="H107" s="8" t="s">
        <v>14</v>
      </c>
      <c r="I107" s="8" t="s">
        <v>141</v>
      </c>
      <c r="J107" s="9" t="s">
        <v>444</v>
      </c>
      <c r="K107" s="29"/>
    </row>
    <row r="108" spans="1:11" s="2" customFormat="1" ht="19.899999999999999" customHeight="1" x14ac:dyDescent="0.25">
      <c r="A108" s="3">
        <f t="shared" si="1"/>
        <v>106</v>
      </c>
      <c r="B108" s="41">
        <v>810010</v>
      </c>
      <c r="C108" s="58" t="s">
        <v>473</v>
      </c>
      <c r="D108" s="5">
        <v>2546725678</v>
      </c>
      <c r="E108" s="8" t="s">
        <v>13</v>
      </c>
      <c r="F108" s="11" t="s">
        <v>390</v>
      </c>
      <c r="G108" s="65" t="s">
        <v>398</v>
      </c>
      <c r="H108" s="8" t="s">
        <v>14</v>
      </c>
      <c r="I108" s="8" t="s">
        <v>141</v>
      </c>
      <c r="J108" s="9" t="s">
        <v>414</v>
      </c>
      <c r="K108" s="29"/>
    </row>
    <row r="109" spans="1:11" s="2" customFormat="1" ht="19.899999999999999" customHeight="1" x14ac:dyDescent="0.25">
      <c r="A109" s="3">
        <f t="shared" si="1"/>
        <v>107</v>
      </c>
      <c r="B109" s="4">
        <v>740325</v>
      </c>
      <c r="C109" s="86" t="s">
        <v>226</v>
      </c>
      <c r="D109" s="5">
        <v>2634810465</v>
      </c>
      <c r="E109" s="15" t="s">
        <v>40</v>
      </c>
      <c r="F109" s="11" t="s">
        <v>390</v>
      </c>
      <c r="G109" s="65" t="s">
        <v>420</v>
      </c>
      <c r="H109" s="16" t="s">
        <v>11</v>
      </c>
      <c r="I109" s="21" t="s">
        <v>381</v>
      </c>
      <c r="J109" s="9" t="s">
        <v>325</v>
      </c>
      <c r="K109" s="31"/>
    </row>
    <row r="110" spans="1:11" s="2" customFormat="1" ht="19.899999999999999" customHeight="1" x14ac:dyDescent="0.25">
      <c r="A110" s="3">
        <f t="shared" si="1"/>
        <v>108</v>
      </c>
      <c r="B110" s="4">
        <v>740362</v>
      </c>
      <c r="C110" s="86" t="s">
        <v>436</v>
      </c>
      <c r="D110" s="19">
        <v>2633726738</v>
      </c>
      <c r="E110" s="21" t="s">
        <v>437</v>
      </c>
      <c r="F110" s="21" t="s">
        <v>390</v>
      </c>
      <c r="G110" s="72" t="s">
        <v>420</v>
      </c>
      <c r="H110" s="21" t="s">
        <v>14</v>
      </c>
      <c r="I110" s="21" t="s">
        <v>12</v>
      </c>
      <c r="J110" s="9" t="s">
        <v>318</v>
      </c>
      <c r="K110" s="29"/>
    </row>
    <row r="111" spans="1:11" s="2" customFormat="1" ht="19.899999999999999" customHeight="1" x14ac:dyDescent="0.25">
      <c r="A111" s="3">
        <f t="shared" si="1"/>
        <v>109</v>
      </c>
      <c r="B111" s="4">
        <v>740363</v>
      </c>
      <c r="C111" s="86" t="s">
        <v>438</v>
      </c>
      <c r="D111" s="19">
        <v>2547683990</v>
      </c>
      <c r="E111" s="21" t="s">
        <v>437</v>
      </c>
      <c r="F111" s="21" t="s">
        <v>390</v>
      </c>
      <c r="G111" s="72" t="s">
        <v>420</v>
      </c>
      <c r="H111" s="21" t="s">
        <v>14</v>
      </c>
      <c r="I111" s="21" t="s">
        <v>12</v>
      </c>
      <c r="J111" s="9" t="s">
        <v>318</v>
      </c>
      <c r="K111" s="29"/>
    </row>
    <row r="112" spans="1:11" s="2" customFormat="1" ht="19.899999999999999" customHeight="1" x14ac:dyDescent="0.25">
      <c r="A112" s="3">
        <f t="shared" si="1"/>
        <v>110</v>
      </c>
      <c r="B112" s="4">
        <v>740185</v>
      </c>
      <c r="C112" s="86" t="s">
        <v>82</v>
      </c>
      <c r="D112" s="19">
        <v>2519740597</v>
      </c>
      <c r="E112" s="21" t="s">
        <v>164</v>
      </c>
      <c r="F112" s="21" t="s">
        <v>390</v>
      </c>
      <c r="G112" s="72" t="s">
        <v>402</v>
      </c>
      <c r="H112" s="21" t="s">
        <v>23</v>
      </c>
      <c r="I112" s="21" t="s">
        <v>12</v>
      </c>
      <c r="J112" s="9" t="s">
        <v>414</v>
      </c>
      <c r="K112" s="29"/>
    </row>
    <row r="113" spans="1:11" s="2" customFormat="1" ht="19.899999999999999" customHeight="1" x14ac:dyDescent="0.25">
      <c r="A113" s="3">
        <f t="shared" si="1"/>
        <v>111</v>
      </c>
      <c r="B113" s="4">
        <v>740249</v>
      </c>
      <c r="C113" s="86" t="s">
        <v>87</v>
      </c>
      <c r="D113" s="5">
        <v>2612836177</v>
      </c>
      <c r="E113" s="11" t="s">
        <v>88</v>
      </c>
      <c r="F113" s="11" t="s">
        <v>390</v>
      </c>
      <c r="G113" s="65" t="s">
        <v>402</v>
      </c>
      <c r="H113" s="8" t="s">
        <v>11</v>
      </c>
      <c r="I113" s="8" t="s">
        <v>12</v>
      </c>
      <c r="J113" s="9" t="s">
        <v>137</v>
      </c>
      <c r="K113" s="29"/>
    </row>
    <row r="114" spans="1:11" s="2" customFormat="1" ht="19.899999999999999" customHeight="1" x14ac:dyDescent="0.25">
      <c r="A114" s="3">
        <f t="shared" si="1"/>
        <v>112</v>
      </c>
      <c r="B114" s="4">
        <v>740350</v>
      </c>
      <c r="C114" s="86" t="s">
        <v>290</v>
      </c>
      <c r="D114" s="5">
        <v>2641293754</v>
      </c>
      <c r="E114" s="11" t="s">
        <v>293</v>
      </c>
      <c r="F114" s="11" t="s">
        <v>390</v>
      </c>
      <c r="G114" s="65" t="s">
        <v>402</v>
      </c>
      <c r="H114" s="8" t="s">
        <v>11</v>
      </c>
      <c r="I114" s="21" t="s">
        <v>381</v>
      </c>
      <c r="J114" s="9" t="s">
        <v>414</v>
      </c>
      <c r="K114" s="31"/>
    </row>
    <row r="115" spans="1:11" s="2" customFormat="1" ht="19.899999999999999" customHeight="1" x14ac:dyDescent="0.25">
      <c r="A115" s="3">
        <f t="shared" si="1"/>
        <v>113</v>
      </c>
      <c r="B115" s="4">
        <v>740279</v>
      </c>
      <c r="C115" s="86" t="s">
        <v>170</v>
      </c>
      <c r="D115" s="5">
        <v>2541656902</v>
      </c>
      <c r="E115" s="8" t="s">
        <v>171</v>
      </c>
      <c r="F115" s="8" t="s">
        <v>390</v>
      </c>
      <c r="G115" s="71" t="s">
        <v>402</v>
      </c>
      <c r="H115" s="8" t="s">
        <v>23</v>
      </c>
      <c r="I115" s="8" t="s">
        <v>12</v>
      </c>
      <c r="J115" s="9" t="s">
        <v>318</v>
      </c>
      <c r="K115" s="29"/>
    </row>
    <row r="116" spans="1:11" s="2" customFormat="1" ht="19.899999999999999" customHeight="1" x14ac:dyDescent="0.25">
      <c r="A116" s="3">
        <f t="shared" si="1"/>
        <v>114</v>
      </c>
      <c r="B116" s="4">
        <v>740303</v>
      </c>
      <c r="C116" s="86" t="s">
        <v>205</v>
      </c>
      <c r="D116" s="19">
        <v>2634810002</v>
      </c>
      <c r="E116" s="20" t="s">
        <v>424</v>
      </c>
      <c r="F116" s="20" t="s">
        <v>390</v>
      </c>
      <c r="G116" s="65" t="s">
        <v>399</v>
      </c>
      <c r="H116" s="21" t="s">
        <v>11</v>
      </c>
      <c r="I116" s="21" t="s">
        <v>381</v>
      </c>
      <c r="J116" s="8" t="s">
        <v>414</v>
      </c>
      <c r="K116" s="31"/>
    </row>
    <row r="117" spans="1:11" s="2" customFormat="1" ht="19.899999999999999" customHeight="1" x14ac:dyDescent="0.25">
      <c r="A117" s="3">
        <f t="shared" si="1"/>
        <v>115</v>
      </c>
      <c r="B117" s="40">
        <v>740327</v>
      </c>
      <c r="C117" s="86" t="s">
        <v>232</v>
      </c>
      <c r="D117" s="19">
        <v>2634878694</v>
      </c>
      <c r="E117" s="21" t="s">
        <v>421</v>
      </c>
      <c r="F117" s="21" t="s">
        <v>390</v>
      </c>
      <c r="G117" s="65" t="s">
        <v>399</v>
      </c>
      <c r="H117" s="21" t="s">
        <v>11</v>
      </c>
      <c r="I117" s="21" t="s">
        <v>381</v>
      </c>
      <c r="J117" s="8" t="s">
        <v>414</v>
      </c>
      <c r="K117" s="30"/>
    </row>
    <row r="118" spans="1:11" s="2" customFormat="1" ht="19.899999999999999" customHeight="1" x14ac:dyDescent="0.25">
      <c r="A118" s="3">
        <f t="shared" si="1"/>
        <v>116</v>
      </c>
      <c r="B118" s="4">
        <v>740328</v>
      </c>
      <c r="C118" s="86" t="s">
        <v>233</v>
      </c>
      <c r="D118" s="19">
        <v>2634878793</v>
      </c>
      <c r="E118" s="39" t="s">
        <v>33</v>
      </c>
      <c r="F118" s="39" t="s">
        <v>390</v>
      </c>
      <c r="G118" s="65" t="s">
        <v>399</v>
      </c>
      <c r="H118" s="21" t="s">
        <v>11</v>
      </c>
      <c r="I118" s="21" t="s">
        <v>381</v>
      </c>
      <c r="J118" s="8" t="s">
        <v>414</v>
      </c>
      <c r="K118" s="31"/>
    </row>
    <row r="119" spans="1:11" s="2" customFormat="1" ht="19.899999999999999" customHeight="1" x14ac:dyDescent="0.25">
      <c r="A119" s="3">
        <f t="shared" si="1"/>
        <v>117</v>
      </c>
      <c r="B119" s="4">
        <v>740333</v>
      </c>
      <c r="C119" s="86" t="s">
        <v>264</v>
      </c>
      <c r="D119" s="19">
        <v>2640811275</v>
      </c>
      <c r="E119" s="21" t="s">
        <v>421</v>
      </c>
      <c r="F119" s="21" t="s">
        <v>390</v>
      </c>
      <c r="G119" s="65" t="s">
        <v>399</v>
      </c>
      <c r="H119" s="21" t="s">
        <v>11</v>
      </c>
      <c r="I119" s="21" t="s">
        <v>381</v>
      </c>
      <c r="J119" s="8" t="s">
        <v>414</v>
      </c>
      <c r="K119" s="31"/>
    </row>
    <row r="120" spans="1:11" ht="19.899999999999999" customHeight="1" x14ac:dyDescent="0.25">
      <c r="A120" s="3">
        <f t="shared" si="1"/>
        <v>118</v>
      </c>
      <c r="B120" s="4">
        <v>740037</v>
      </c>
      <c r="C120" s="90" t="s">
        <v>32</v>
      </c>
      <c r="D120" s="5">
        <v>2348147287</v>
      </c>
      <c r="E120" s="8" t="s">
        <v>421</v>
      </c>
      <c r="F120" s="11" t="s">
        <v>390</v>
      </c>
      <c r="G120" s="84" t="s">
        <v>399</v>
      </c>
      <c r="H120" s="8" t="s">
        <v>34</v>
      </c>
      <c r="I120" s="8" t="s">
        <v>12</v>
      </c>
      <c r="J120" s="8" t="s">
        <v>475</v>
      </c>
      <c r="K120" s="29" t="s">
        <v>472</v>
      </c>
    </row>
    <row r="121" spans="1:11" s="2" customFormat="1" ht="19.899999999999999" customHeight="1" x14ac:dyDescent="0.25">
      <c r="A121" s="3">
        <f t="shared" si="1"/>
        <v>119</v>
      </c>
      <c r="B121" s="4">
        <v>740039</v>
      </c>
      <c r="C121" s="90" t="s">
        <v>31</v>
      </c>
      <c r="D121" s="5">
        <v>2351175803</v>
      </c>
      <c r="E121" s="8" t="s">
        <v>421</v>
      </c>
      <c r="F121" s="11" t="s">
        <v>390</v>
      </c>
      <c r="G121" s="65" t="s">
        <v>399</v>
      </c>
      <c r="H121" s="8" t="s">
        <v>20</v>
      </c>
      <c r="I121" s="8" t="s">
        <v>12</v>
      </c>
      <c r="J121" s="9" t="s">
        <v>181</v>
      </c>
      <c r="K121" s="29"/>
    </row>
    <row r="122" spans="1:11" s="2" customFormat="1" ht="19.899999999999999" customHeight="1" x14ac:dyDescent="0.25">
      <c r="A122" s="3">
        <f t="shared" si="1"/>
        <v>120</v>
      </c>
      <c r="B122" s="4">
        <v>740123</v>
      </c>
      <c r="C122" s="90" t="s">
        <v>37</v>
      </c>
      <c r="D122" s="5">
        <v>2250455090</v>
      </c>
      <c r="E122" s="8" t="s">
        <v>421</v>
      </c>
      <c r="F122" s="11" t="s">
        <v>390</v>
      </c>
      <c r="G122" s="65" t="s">
        <v>399</v>
      </c>
      <c r="H122" s="8" t="s">
        <v>11</v>
      </c>
      <c r="I122" s="8" t="s">
        <v>12</v>
      </c>
      <c r="J122" s="9" t="s">
        <v>181</v>
      </c>
      <c r="K122" s="29"/>
    </row>
    <row r="123" spans="1:11" ht="19.899999999999999" customHeight="1" x14ac:dyDescent="0.25">
      <c r="A123" s="3">
        <f t="shared" si="1"/>
        <v>121</v>
      </c>
      <c r="B123" s="4">
        <v>740134</v>
      </c>
      <c r="C123" s="7" t="s">
        <v>24</v>
      </c>
      <c r="D123" s="5">
        <v>2402766642</v>
      </c>
      <c r="E123" s="8" t="s">
        <v>423</v>
      </c>
      <c r="F123" s="11" t="s">
        <v>390</v>
      </c>
      <c r="G123" s="65" t="s">
        <v>399</v>
      </c>
      <c r="H123" s="8" t="s">
        <v>20</v>
      </c>
      <c r="I123" s="8" t="s">
        <v>12</v>
      </c>
      <c r="J123" s="9" t="s">
        <v>181</v>
      </c>
      <c r="K123" s="29"/>
    </row>
    <row r="124" spans="1:11" ht="19.899999999999999" customHeight="1" x14ac:dyDescent="0.25">
      <c r="A124" s="3">
        <f t="shared" si="1"/>
        <v>122</v>
      </c>
      <c r="B124" s="4">
        <v>740159</v>
      </c>
      <c r="C124" s="7" t="s">
        <v>26</v>
      </c>
      <c r="D124" s="5">
        <v>2418607079</v>
      </c>
      <c r="E124" s="8" t="s">
        <v>421</v>
      </c>
      <c r="F124" s="11" t="s">
        <v>390</v>
      </c>
      <c r="G124" s="65" t="s">
        <v>399</v>
      </c>
      <c r="H124" s="8" t="s">
        <v>11</v>
      </c>
      <c r="I124" s="8" t="s">
        <v>12</v>
      </c>
      <c r="J124" s="8" t="s">
        <v>181</v>
      </c>
      <c r="K124" s="29"/>
    </row>
    <row r="125" spans="1:11" ht="19.899999999999999" customHeight="1" x14ac:dyDescent="0.25">
      <c r="A125" s="3">
        <f t="shared" si="1"/>
        <v>123</v>
      </c>
      <c r="B125" s="4">
        <v>740163</v>
      </c>
      <c r="C125" s="7" t="s">
        <v>38</v>
      </c>
      <c r="D125" s="5">
        <v>2384457285</v>
      </c>
      <c r="E125" s="8" t="s">
        <v>421</v>
      </c>
      <c r="F125" s="11" t="s">
        <v>390</v>
      </c>
      <c r="G125" s="65" t="s">
        <v>399</v>
      </c>
      <c r="H125" s="8" t="s">
        <v>11</v>
      </c>
      <c r="I125" s="8" t="s">
        <v>12</v>
      </c>
      <c r="J125" s="21" t="s">
        <v>181</v>
      </c>
      <c r="K125" s="30"/>
    </row>
    <row r="126" spans="1:11" ht="19.899999999999999" customHeight="1" x14ac:dyDescent="0.25">
      <c r="A126" s="3">
        <f t="shared" si="1"/>
        <v>124</v>
      </c>
      <c r="B126" s="4">
        <v>740175</v>
      </c>
      <c r="C126" s="7" t="s">
        <v>27</v>
      </c>
      <c r="D126" s="5">
        <v>2497860631</v>
      </c>
      <c r="E126" s="8" t="s">
        <v>421</v>
      </c>
      <c r="F126" s="11" t="s">
        <v>390</v>
      </c>
      <c r="G126" s="65" t="s">
        <v>399</v>
      </c>
      <c r="H126" s="8" t="s">
        <v>23</v>
      </c>
      <c r="I126" s="8" t="s">
        <v>12</v>
      </c>
      <c r="J126" s="9" t="s">
        <v>181</v>
      </c>
      <c r="K126" s="29"/>
    </row>
    <row r="127" spans="1:11" ht="19.899999999999999" customHeight="1" x14ac:dyDescent="0.25">
      <c r="A127" s="3">
        <f t="shared" si="1"/>
        <v>125</v>
      </c>
      <c r="B127" s="4">
        <v>740228</v>
      </c>
      <c r="C127" s="7" t="s">
        <v>41</v>
      </c>
      <c r="D127" s="5">
        <v>2560302990</v>
      </c>
      <c r="E127" s="8" t="s">
        <v>422</v>
      </c>
      <c r="F127" s="11" t="s">
        <v>390</v>
      </c>
      <c r="G127" s="65" t="s">
        <v>399</v>
      </c>
      <c r="H127" s="8" t="s">
        <v>11</v>
      </c>
      <c r="I127" s="8" t="s">
        <v>12</v>
      </c>
      <c r="J127" s="9" t="s">
        <v>181</v>
      </c>
      <c r="K127" s="29"/>
    </row>
    <row r="128" spans="1:11" ht="19.899999999999999" customHeight="1" x14ac:dyDescent="0.25">
      <c r="A128" s="3">
        <f t="shared" si="1"/>
        <v>126</v>
      </c>
      <c r="B128" s="4">
        <v>740240</v>
      </c>
      <c r="C128" s="7" t="s">
        <v>39</v>
      </c>
      <c r="D128" s="5">
        <v>2584324970</v>
      </c>
      <c r="E128" s="8" t="s">
        <v>423</v>
      </c>
      <c r="F128" s="11" t="s">
        <v>390</v>
      </c>
      <c r="G128" s="65" t="s">
        <v>399</v>
      </c>
      <c r="H128" s="8" t="s">
        <v>34</v>
      </c>
      <c r="I128" s="12" t="s">
        <v>12</v>
      </c>
      <c r="J128" s="9" t="s">
        <v>181</v>
      </c>
      <c r="K128" s="29"/>
    </row>
    <row r="129" spans="1:11" ht="19.899999999999999" customHeight="1" x14ac:dyDescent="0.25">
      <c r="A129" s="3">
        <f t="shared" si="1"/>
        <v>127</v>
      </c>
      <c r="B129" s="4">
        <v>740251</v>
      </c>
      <c r="C129" s="10" t="s">
        <v>89</v>
      </c>
      <c r="D129" s="5">
        <v>2612836508</v>
      </c>
      <c r="E129" s="11" t="s">
        <v>299</v>
      </c>
      <c r="F129" s="11" t="s">
        <v>390</v>
      </c>
      <c r="G129" s="65" t="s">
        <v>399</v>
      </c>
      <c r="H129" s="8" t="s">
        <v>11</v>
      </c>
      <c r="I129" s="8" t="s">
        <v>12</v>
      </c>
      <c r="J129" s="9" t="s">
        <v>475</v>
      </c>
      <c r="K129" s="29" t="s">
        <v>472</v>
      </c>
    </row>
    <row r="130" spans="1:11" ht="19.899999999999999" customHeight="1" x14ac:dyDescent="0.25">
      <c r="A130" s="3">
        <f t="shared" si="1"/>
        <v>128</v>
      </c>
      <c r="B130" s="4">
        <v>740010</v>
      </c>
      <c r="C130" s="7" t="s">
        <v>225</v>
      </c>
      <c r="D130" s="5">
        <v>2309919955</v>
      </c>
      <c r="E130" s="8" t="s">
        <v>224</v>
      </c>
      <c r="F130" s="11" t="s">
        <v>390</v>
      </c>
      <c r="G130" s="65" t="s">
        <v>399</v>
      </c>
      <c r="H130" s="8" t="s">
        <v>11</v>
      </c>
      <c r="I130" s="8" t="s">
        <v>12</v>
      </c>
      <c r="J130" s="9" t="s">
        <v>318</v>
      </c>
      <c r="K130" s="29"/>
    </row>
    <row r="131" spans="1:11" ht="19.899999999999999" customHeight="1" x14ac:dyDescent="0.25">
      <c r="A131" s="3">
        <f t="shared" si="1"/>
        <v>129</v>
      </c>
      <c r="B131" s="4">
        <v>740098</v>
      </c>
      <c r="C131" s="7" t="s">
        <v>35</v>
      </c>
      <c r="D131" s="5">
        <v>2421061942</v>
      </c>
      <c r="E131" s="8" t="s">
        <v>36</v>
      </c>
      <c r="F131" s="11" t="s">
        <v>390</v>
      </c>
      <c r="G131" s="65" t="s">
        <v>399</v>
      </c>
      <c r="H131" s="8" t="s">
        <v>34</v>
      </c>
      <c r="I131" s="8" t="s">
        <v>12</v>
      </c>
      <c r="J131" s="8" t="s">
        <v>414</v>
      </c>
      <c r="K131" s="29"/>
    </row>
    <row r="132" spans="1:11" ht="19.899999999999999" customHeight="1" x14ac:dyDescent="0.25">
      <c r="A132" s="3">
        <f t="shared" ref="A132:A141" si="2">ROW()-2</f>
        <v>130</v>
      </c>
      <c r="B132" s="4">
        <v>740288</v>
      </c>
      <c r="C132" s="18" t="s">
        <v>192</v>
      </c>
      <c r="D132" s="19">
        <v>2634810317</v>
      </c>
      <c r="E132" s="20" t="s">
        <v>424</v>
      </c>
      <c r="F132" s="20" t="s">
        <v>390</v>
      </c>
      <c r="G132" s="65" t="s">
        <v>399</v>
      </c>
      <c r="H132" s="21" t="s">
        <v>11</v>
      </c>
      <c r="I132" s="21" t="s">
        <v>381</v>
      </c>
      <c r="J132" s="8" t="s">
        <v>414</v>
      </c>
      <c r="K132" s="31"/>
    </row>
    <row r="133" spans="1:11" ht="19.899999999999999" customHeight="1" x14ac:dyDescent="0.25">
      <c r="A133" s="3">
        <f t="shared" si="2"/>
        <v>131</v>
      </c>
      <c r="B133" s="40">
        <v>740360</v>
      </c>
      <c r="C133" s="7" t="s">
        <v>431</v>
      </c>
      <c r="D133" s="5">
        <v>2644424034</v>
      </c>
      <c r="E133" s="8" t="s">
        <v>288</v>
      </c>
      <c r="F133" s="8" t="s">
        <v>390</v>
      </c>
      <c r="G133" s="71" t="s">
        <v>399</v>
      </c>
      <c r="H133" s="8" t="s">
        <v>11</v>
      </c>
      <c r="I133" s="21" t="s">
        <v>381</v>
      </c>
      <c r="J133" s="8" t="s">
        <v>432</v>
      </c>
      <c r="K133" s="30"/>
    </row>
    <row r="134" spans="1:11" ht="19.899999999999999" customHeight="1" x14ac:dyDescent="0.25">
      <c r="A134" s="3">
        <f t="shared" si="2"/>
        <v>132</v>
      </c>
      <c r="B134" s="4">
        <v>740205</v>
      </c>
      <c r="C134" s="7" t="s">
        <v>136</v>
      </c>
      <c r="D134" s="5">
        <v>2526980517</v>
      </c>
      <c r="E134" s="8" t="s">
        <v>421</v>
      </c>
      <c r="F134" s="8" t="s">
        <v>390</v>
      </c>
      <c r="G134" s="65" t="s">
        <v>399</v>
      </c>
      <c r="H134" s="8" t="s">
        <v>11</v>
      </c>
      <c r="I134" s="9" t="s">
        <v>12</v>
      </c>
      <c r="J134" s="9" t="s">
        <v>414</v>
      </c>
      <c r="K134" s="29"/>
    </row>
    <row r="135" spans="1:11" ht="19.899999999999999" customHeight="1" x14ac:dyDescent="0.25">
      <c r="A135" s="3">
        <f t="shared" si="2"/>
        <v>133</v>
      </c>
      <c r="B135" s="4">
        <v>740275</v>
      </c>
      <c r="C135" s="7" t="s">
        <v>238</v>
      </c>
      <c r="D135" s="19">
        <v>2642945683</v>
      </c>
      <c r="E135" s="21" t="s">
        <v>224</v>
      </c>
      <c r="F135" s="8" t="s">
        <v>390</v>
      </c>
      <c r="G135" s="65" t="s">
        <v>399</v>
      </c>
      <c r="H135" s="21" t="s">
        <v>11</v>
      </c>
      <c r="I135" s="22" t="s">
        <v>381</v>
      </c>
      <c r="J135" s="8" t="s">
        <v>476</v>
      </c>
      <c r="K135" s="29"/>
    </row>
    <row r="136" spans="1:11" ht="19.899999999999999" customHeight="1" x14ac:dyDescent="0.25">
      <c r="A136" s="3">
        <f t="shared" si="2"/>
        <v>134</v>
      </c>
      <c r="B136" s="4">
        <v>740334</v>
      </c>
      <c r="C136" s="38" t="s">
        <v>263</v>
      </c>
      <c r="D136" s="19">
        <v>2640811655</v>
      </c>
      <c r="E136" s="39" t="s">
        <v>277</v>
      </c>
      <c r="F136" s="39" t="s">
        <v>390</v>
      </c>
      <c r="G136" s="65" t="s">
        <v>399</v>
      </c>
      <c r="H136" s="21" t="s">
        <v>11</v>
      </c>
      <c r="I136" s="22" t="s">
        <v>381</v>
      </c>
      <c r="J136" s="9" t="s">
        <v>414</v>
      </c>
      <c r="K136" s="31"/>
    </row>
    <row r="137" spans="1:11" ht="19.899999999999999" customHeight="1" x14ac:dyDescent="0.25">
      <c r="A137" s="3">
        <f t="shared" si="2"/>
        <v>135</v>
      </c>
      <c r="B137" s="4">
        <v>740183</v>
      </c>
      <c r="C137" s="7" t="s">
        <v>138</v>
      </c>
      <c r="D137" s="5">
        <v>2519288837</v>
      </c>
      <c r="E137" s="8" t="s">
        <v>224</v>
      </c>
      <c r="F137" s="11" t="s">
        <v>390</v>
      </c>
      <c r="G137" s="65" t="s">
        <v>399</v>
      </c>
      <c r="H137" s="8" t="s">
        <v>11</v>
      </c>
      <c r="I137" s="9" t="s">
        <v>12</v>
      </c>
      <c r="J137" s="8" t="s">
        <v>181</v>
      </c>
      <c r="K137" s="29"/>
    </row>
    <row r="138" spans="1:11" ht="19.899999999999999" customHeight="1" x14ac:dyDescent="0.25">
      <c r="A138" s="3">
        <f t="shared" si="2"/>
        <v>136</v>
      </c>
      <c r="B138" s="40">
        <v>740278</v>
      </c>
      <c r="C138" s="7" t="s">
        <v>162</v>
      </c>
      <c r="D138" s="5">
        <v>2644423523</v>
      </c>
      <c r="E138" s="8" t="s">
        <v>163</v>
      </c>
      <c r="F138" s="8" t="s">
        <v>390</v>
      </c>
      <c r="G138" s="71" t="s">
        <v>403</v>
      </c>
      <c r="H138" s="8" t="s">
        <v>11</v>
      </c>
      <c r="I138" s="9" t="s">
        <v>236</v>
      </c>
      <c r="J138" s="8" t="s">
        <v>432</v>
      </c>
      <c r="K138" s="30"/>
    </row>
    <row r="139" spans="1:11" ht="19.899999999999999" customHeight="1" x14ac:dyDescent="0.25">
      <c r="A139" s="3">
        <f t="shared" si="2"/>
        <v>137</v>
      </c>
      <c r="B139" s="40">
        <v>740356</v>
      </c>
      <c r="C139" s="7" t="s">
        <v>407</v>
      </c>
      <c r="D139" s="5">
        <v>2643932755</v>
      </c>
      <c r="E139" s="8" t="s">
        <v>415</v>
      </c>
      <c r="F139" s="8" t="s">
        <v>390</v>
      </c>
      <c r="G139" s="71" t="s">
        <v>399</v>
      </c>
      <c r="H139" s="8" t="s">
        <v>11</v>
      </c>
      <c r="I139" s="22" t="s">
        <v>381</v>
      </c>
      <c r="J139" s="8" t="s">
        <v>432</v>
      </c>
      <c r="K139" s="30"/>
    </row>
    <row r="140" spans="1:11" ht="19.899999999999999" customHeight="1" x14ac:dyDescent="0.25">
      <c r="A140" s="3">
        <f t="shared" si="2"/>
        <v>138</v>
      </c>
      <c r="B140" s="40">
        <v>740358</v>
      </c>
      <c r="C140" s="7" t="s">
        <v>433</v>
      </c>
      <c r="D140" s="5">
        <v>2643932904</v>
      </c>
      <c r="E140" s="8" t="s">
        <v>416</v>
      </c>
      <c r="F140" s="8" t="s">
        <v>390</v>
      </c>
      <c r="G140" s="71" t="s">
        <v>397</v>
      </c>
      <c r="H140" s="8" t="s">
        <v>11</v>
      </c>
      <c r="I140" s="22" t="s">
        <v>381</v>
      </c>
      <c r="J140" s="8" t="s">
        <v>432</v>
      </c>
      <c r="K140" s="30"/>
    </row>
    <row r="141" spans="1:11" ht="19.899999999999999" customHeight="1" x14ac:dyDescent="0.25">
      <c r="A141" s="3">
        <f t="shared" si="2"/>
        <v>139</v>
      </c>
      <c r="B141" s="4">
        <v>740361</v>
      </c>
      <c r="C141" s="23" t="s">
        <v>435</v>
      </c>
      <c r="D141" s="19">
        <v>2593856525</v>
      </c>
      <c r="E141" s="21" t="s">
        <v>22</v>
      </c>
      <c r="F141" s="21" t="s">
        <v>390</v>
      </c>
      <c r="G141" s="72" t="s">
        <v>418</v>
      </c>
      <c r="H141" s="21" t="s">
        <v>23</v>
      </c>
      <c r="I141" s="22" t="s">
        <v>12</v>
      </c>
      <c r="J141" s="8" t="s">
        <v>432</v>
      </c>
      <c r="K141" s="29"/>
    </row>
    <row r="142" spans="1:11" ht="19.899999999999999" customHeight="1" x14ac:dyDescent="0.25">
      <c r="A142" s="3">
        <f>ROW()-2</f>
        <v>140</v>
      </c>
      <c r="B142" s="4">
        <v>740367</v>
      </c>
      <c r="C142" s="23" t="s">
        <v>470</v>
      </c>
      <c r="D142" s="19">
        <v>2615197528</v>
      </c>
      <c r="E142" s="21" t="s">
        <v>40</v>
      </c>
      <c r="F142" s="21" t="s">
        <v>390</v>
      </c>
      <c r="G142" s="72" t="s">
        <v>420</v>
      </c>
      <c r="H142" s="21" t="s">
        <v>11</v>
      </c>
      <c r="I142" s="22" t="s">
        <v>12</v>
      </c>
      <c r="J142" s="8" t="s">
        <v>318</v>
      </c>
      <c r="K142" s="29"/>
    </row>
    <row r="143" spans="1:11" ht="19.899999999999999" customHeight="1" x14ac:dyDescent="0.25">
      <c r="A143" s="3">
        <f>ROW()-2</f>
        <v>141</v>
      </c>
      <c r="B143" s="4">
        <v>810011</v>
      </c>
      <c r="C143" s="23" t="s">
        <v>474</v>
      </c>
      <c r="D143" s="19">
        <v>2581310196</v>
      </c>
      <c r="E143" s="21" t="s">
        <v>40</v>
      </c>
      <c r="F143" s="21" t="s">
        <v>390</v>
      </c>
      <c r="G143" s="72" t="s">
        <v>420</v>
      </c>
      <c r="H143" s="21" t="s">
        <v>14</v>
      </c>
      <c r="I143" s="22" t="s">
        <v>141</v>
      </c>
      <c r="J143" s="9" t="s">
        <v>181</v>
      </c>
      <c r="K143" s="29"/>
    </row>
    <row r="144" spans="1:11" ht="19.899999999999999" customHeight="1" x14ac:dyDescent="0.25">
      <c r="A144" s="3">
        <f>ROW()-2</f>
        <v>142</v>
      </c>
      <c r="B144" s="4">
        <v>740248</v>
      </c>
      <c r="C144" s="7" t="s">
        <v>77</v>
      </c>
      <c r="D144" s="5">
        <v>2605623822</v>
      </c>
      <c r="E144" s="11" t="s">
        <v>78</v>
      </c>
      <c r="F144" s="8" t="s">
        <v>391</v>
      </c>
      <c r="G144" s="71"/>
      <c r="H144" s="8" t="s">
        <v>11</v>
      </c>
      <c r="I144" s="9" t="s">
        <v>12</v>
      </c>
      <c r="J144" s="9" t="s">
        <v>283</v>
      </c>
      <c r="K144" s="31"/>
    </row>
    <row r="145" spans="1:11" ht="19.899999999999999" customHeight="1" x14ac:dyDescent="0.25">
      <c r="A145" s="3">
        <f t="shared" ref="A145:A208" si="3">ROW()-2</f>
        <v>143</v>
      </c>
      <c r="B145" s="4">
        <v>740302</v>
      </c>
      <c r="C145" s="18" t="s">
        <v>204</v>
      </c>
      <c r="D145" s="19">
        <v>2634811018</v>
      </c>
      <c r="E145" s="20" t="s">
        <v>281</v>
      </c>
      <c r="F145" s="8" t="s">
        <v>391</v>
      </c>
      <c r="G145" s="71"/>
      <c r="H145" s="21" t="s">
        <v>11</v>
      </c>
      <c r="I145" s="22" t="s">
        <v>12</v>
      </c>
      <c r="J145" s="9" t="s">
        <v>283</v>
      </c>
      <c r="K145" s="29"/>
    </row>
    <row r="146" spans="1:11" ht="19.899999999999999" customHeight="1" x14ac:dyDescent="0.25">
      <c r="A146" s="3">
        <f t="shared" si="3"/>
        <v>144</v>
      </c>
      <c r="B146" s="4">
        <v>740304</v>
      </c>
      <c r="C146" s="18" t="s">
        <v>206</v>
      </c>
      <c r="D146" s="19">
        <v>2634810085</v>
      </c>
      <c r="E146" s="20" t="s">
        <v>317</v>
      </c>
      <c r="F146" s="8" t="s">
        <v>391</v>
      </c>
      <c r="G146" s="71"/>
      <c r="H146" s="21" t="s">
        <v>11</v>
      </c>
      <c r="I146" s="22" t="s">
        <v>12</v>
      </c>
      <c r="J146" s="9" t="s">
        <v>283</v>
      </c>
      <c r="K146" s="31"/>
    </row>
    <row r="147" spans="1:11" ht="19.899999999999999" customHeight="1" x14ac:dyDescent="0.25">
      <c r="A147" s="3">
        <f t="shared" si="3"/>
        <v>145</v>
      </c>
      <c r="B147" s="4">
        <v>740315</v>
      </c>
      <c r="C147" s="38" t="s">
        <v>217</v>
      </c>
      <c r="D147" s="19">
        <v>2634808618</v>
      </c>
      <c r="E147" s="39" t="s">
        <v>223</v>
      </c>
      <c r="F147" s="8" t="s">
        <v>391</v>
      </c>
      <c r="G147" s="71"/>
      <c r="H147" s="21" t="s">
        <v>11</v>
      </c>
      <c r="I147" s="22" t="s">
        <v>381</v>
      </c>
      <c r="J147" s="9" t="s">
        <v>414</v>
      </c>
      <c r="K147" s="29"/>
    </row>
    <row r="148" spans="1:11" ht="19.899999999999999" customHeight="1" x14ac:dyDescent="0.25">
      <c r="A148" s="3">
        <f t="shared" si="3"/>
        <v>146</v>
      </c>
      <c r="B148" s="41">
        <v>740324</v>
      </c>
      <c r="C148" s="42" t="s">
        <v>230</v>
      </c>
      <c r="D148" s="5">
        <v>2634811307</v>
      </c>
      <c r="E148" s="43" t="s">
        <v>42</v>
      </c>
      <c r="F148" s="43" t="s">
        <v>391</v>
      </c>
      <c r="G148" s="73"/>
      <c r="H148" s="8" t="s">
        <v>11</v>
      </c>
      <c r="I148" s="22" t="s">
        <v>381</v>
      </c>
      <c r="J148" s="9" t="s">
        <v>283</v>
      </c>
      <c r="K148" s="31"/>
    </row>
    <row r="149" spans="1:11" ht="19.899999999999999" customHeight="1" x14ac:dyDescent="0.25">
      <c r="A149" s="3">
        <f t="shared" si="3"/>
        <v>147</v>
      </c>
      <c r="B149" s="4">
        <v>740337</v>
      </c>
      <c r="C149" s="23" t="s">
        <v>269</v>
      </c>
      <c r="D149" s="19">
        <v>2640812224</v>
      </c>
      <c r="E149" s="21" t="s">
        <v>152</v>
      </c>
      <c r="F149" s="8" t="s">
        <v>391</v>
      </c>
      <c r="G149" s="71"/>
      <c r="H149" s="21" t="s">
        <v>11</v>
      </c>
      <c r="I149" s="22" t="s">
        <v>381</v>
      </c>
      <c r="J149" s="9" t="s">
        <v>283</v>
      </c>
      <c r="K149" s="29"/>
    </row>
    <row r="150" spans="1:11" ht="19.899999999999999" customHeight="1" x14ac:dyDescent="0.25">
      <c r="A150" s="3">
        <f t="shared" si="3"/>
        <v>148</v>
      </c>
      <c r="B150" s="4">
        <v>740338</v>
      </c>
      <c r="C150" s="23" t="s">
        <v>276</v>
      </c>
      <c r="D150" s="19">
        <v>2640812687</v>
      </c>
      <c r="E150" s="21" t="s">
        <v>279</v>
      </c>
      <c r="F150" s="8" t="s">
        <v>391</v>
      </c>
      <c r="G150" s="71"/>
      <c r="H150" s="21" t="s">
        <v>11</v>
      </c>
      <c r="I150" s="22" t="s">
        <v>381</v>
      </c>
      <c r="J150" s="9" t="s">
        <v>318</v>
      </c>
      <c r="K150" s="29"/>
    </row>
    <row r="151" spans="1:11" ht="19.899999999999999" customHeight="1" x14ac:dyDescent="0.25">
      <c r="A151" s="3">
        <f t="shared" si="3"/>
        <v>149</v>
      </c>
      <c r="B151" s="4">
        <v>740347</v>
      </c>
      <c r="C151" s="7" t="s">
        <v>287</v>
      </c>
      <c r="D151" s="5">
        <v>2641293937</v>
      </c>
      <c r="E151" s="11" t="s">
        <v>152</v>
      </c>
      <c r="F151" s="8" t="s">
        <v>391</v>
      </c>
      <c r="G151" s="71"/>
      <c r="H151" s="8" t="s">
        <v>11</v>
      </c>
      <c r="I151" s="21" t="s">
        <v>381</v>
      </c>
      <c r="J151" s="9" t="s">
        <v>283</v>
      </c>
      <c r="K151" s="31"/>
    </row>
    <row r="152" spans="1:11" ht="19.899999999999999" customHeight="1" x14ac:dyDescent="0.25">
      <c r="A152" s="3">
        <f t="shared" si="3"/>
        <v>150</v>
      </c>
      <c r="B152" s="4">
        <v>740352</v>
      </c>
      <c r="C152" s="7" t="s">
        <v>292</v>
      </c>
      <c r="D152" s="5">
        <v>2641293879</v>
      </c>
      <c r="E152" s="11" t="s">
        <v>150</v>
      </c>
      <c r="F152" s="8" t="s">
        <v>391</v>
      </c>
      <c r="G152" s="71"/>
      <c r="H152" s="8" t="s">
        <v>11</v>
      </c>
      <c r="I152" s="21" t="s">
        <v>381</v>
      </c>
      <c r="J152" s="9" t="s">
        <v>283</v>
      </c>
      <c r="K152" s="29"/>
    </row>
    <row r="153" spans="1:11" ht="19.899999999999999" customHeight="1" x14ac:dyDescent="0.25">
      <c r="A153" s="3">
        <f t="shared" si="3"/>
        <v>151</v>
      </c>
      <c r="B153" s="4">
        <v>740117</v>
      </c>
      <c r="C153" s="23" t="s">
        <v>104</v>
      </c>
      <c r="D153" s="19">
        <v>2090027901</v>
      </c>
      <c r="E153" s="21" t="s">
        <v>105</v>
      </c>
      <c r="F153" s="8" t="s">
        <v>391</v>
      </c>
      <c r="G153" s="71"/>
      <c r="H153" s="21" t="s">
        <v>14</v>
      </c>
      <c r="I153" s="21" t="s">
        <v>12</v>
      </c>
      <c r="J153" s="9" t="s">
        <v>319</v>
      </c>
      <c r="K153" s="29"/>
    </row>
    <row r="154" spans="1:11" ht="19.899999999999999" customHeight="1" x14ac:dyDescent="0.25">
      <c r="A154" s="3">
        <f t="shared" si="3"/>
        <v>152</v>
      </c>
      <c r="B154" s="4">
        <v>740253</v>
      </c>
      <c r="C154" s="7" t="s">
        <v>119</v>
      </c>
      <c r="D154" s="5">
        <v>2595173762</v>
      </c>
      <c r="E154" s="8" t="s">
        <v>120</v>
      </c>
      <c r="F154" s="8" t="s">
        <v>391</v>
      </c>
      <c r="G154" s="71"/>
      <c r="H154" s="8" t="s">
        <v>11</v>
      </c>
      <c r="I154" s="8" t="s">
        <v>12</v>
      </c>
      <c r="J154" s="9" t="s">
        <v>319</v>
      </c>
      <c r="K154" s="29"/>
    </row>
    <row r="155" spans="1:11" ht="19.899999999999999" customHeight="1" x14ac:dyDescent="0.25">
      <c r="A155" s="3">
        <f t="shared" si="3"/>
        <v>153</v>
      </c>
      <c r="B155" s="4">
        <v>740273</v>
      </c>
      <c r="C155" s="7" t="s">
        <v>157</v>
      </c>
      <c r="D155" s="5">
        <v>2626492462</v>
      </c>
      <c r="E155" s="8" t="s">
        <v>122</v>
      </c>
      <c r="F155" s="8" t="s">
        <v>391</v>
      </c>
      <c r="G155" s="71"/>
      <c r="H155" s="8" t="s">
        <v>11</v>
      </c>
      <c r="I155" s="8" t="s">
        <v>12</v>
      </c>
      <c r="J155" s="9" t="s">
        <v>319</v>
      </c>
      <c r="K155" s="29"/>
    </row>
    <row r="156" spans="1:11" ht="19.899999999999999" customHeight="1" x14ac:dyDescent="0.25">
      <c r="A156" s="3">
        <f t="shared" si="3"/>
        <v>154</v>
      </c>
      <c r="B156" s="4">
        <v>740308</v>
      </c>
      <c r="C156" s="38" t="s">
        <v>210</v>
      </c>
      <c r="D156" s="19">
        <v>2634808204</v>
      </c>
      <c r="E156" s="39" t="s">
        <v>222</v>
      </c>
      <c r="F156" s="8" t="s">
        <v>391</v>
      </c>
      <c r="G156" s="71"/>
      <c r="H156" s="21" t="s">
        <v>11</v>
      </c>
      <c r="I156" s="21" t="s">
        <v>381</v>
      </c>
      <c r="J156" s="9" t="s">
        <v>319</v>
      </c>
      <c r="K156" s="29"/>
    </row>
    <row r="157" spans="1:11" s="2" customFormat="1" ht="19.899999999999999" customHeight="1" x14ac:dyDescent="0.25">
      <c r="A157" s="3">
        <f t="shared" si="3"/>
        <v>155</v>
      </c>
      <c r="B157" s="4">
        <v>740329</v>
      </c>
      <c r="C157" s="14" t="s">
        <v>234</v>
      </c>
      <c r="D157" s="5">
        <v>2636133841</v>
      </c>
      <c r="E157" s="15" t="s">
        <v>86</v>
      </c>
      <c r="F157" s="8" t="s">
        <v>391</v>
      </c>
      <c r="G157" s="71"/>
      <c r="H157" s="16" t="s">
        <v>23</v>
      </c>
      <c r="I157" s="21" t="s">
        <v>12</v>
      </c>
      <c r="J157" s="9" t="s">
        <v>319</v>
      </c>
      <c r="K157" s="29"/>
    </row>
    <row r="158" spans="1:11" s="2" customFormat="1" ht="19.899999999999999" customHeight="1" x14ac:dyDescent="0.25">
      <c r="A158" s="3">
        <f t="shared" si="3"/>
        <v>156</v>
      </c>
      <c r="B158" s="4">
        <v>710119</v>
      </c>
      <c r="C158" s="13" t="s">
        <v>259</v>
      </c>
      <c r="D158" s="5">
        <v>1140476936</v>
      </c>
      <c r="E158" s="11" t="s">
        <v>78</v>
      </c>
      <c r="F158" s="8" t="s">
        <v>391</v>
      </c>
      <c r="G158" s="71"/>
      <c r="H158" s="8" t="s">
        <v>45</v>
      </c>
      <c r="I158" s="17" t="s">
        <v>12</v>
      </c>
      <c r="J158" s="8" t="s">
        <v>283</v>
      </c>
      <c r="K158" s="29"/>
    </row>
    <row r="159" spans="1:11" s="2" customFormat="1" ht="19.899999999999999" customHeight="1" x14ac:dyDescent="0.25">
      <c r="A159" s="3">
        <f t="shared" si="3"/>
        <v>157</v>
      </c>
      <c r="B159" s="4">
        <v>710120</v>
      </c>
      <c r="C159" s="13" t="s">
        <v>260</v>
      </c>
      <c r="D159" s="5">
        <v>1099767608</v>
      </c>
      <c r="E159" s="11" t="s">
        <v>78</v>
      </c>
      <c r="F159" s="8" t="s">
        <v>391</v>
      </c>
      <c r="G159" s="71"/>
      <c r="H159" s="8" t="s">
        <v>45</v>
      </c>
      <c r="I159" s="17" t="s">
        <v>12</v>
      </c>
      <c r="J159" s="9" t="s">
        <v>283</v>
      </c>
      <c r="K159" s="29"/>
    </row>
    <row r="160" spans="1:11" s="2" customFormat="1" ht="19.899999999999999" customHeight="1" x14ac:dyDescent="0.25">
      <c r="A160" s="3">
        <f t="shared" si="3"/>
        <v>158</v>
      </c>
      <c r="B160" s="4">
        <v>740245</v>
      </c>
      <c r="C160" s="7" t="s">
        <v>71</v>
      </c>
      <c r="D160" s="5">
        <v>2605624093</v>
      </c>
      <c r="E160" s="11" t="s">
        <v>72</v>
      </c>
      <c r="F160" s="8" t="s">
        <v>391</v>
      </c>
      <c r="G160" s="71"/>
      <c r="H160" s="8" t="s">
        <v>11</v>
      </c>
      <c r="I160" s="8" t="s">
        <v>12</v>
      </c>
      <c r="J160" s="9" t="s">
        <v>283</v>
      </c>
      <c r="K160" s="29"/>
    </row>
    <row r="161" spans="1:11" s="2" customFormat="1" ht="19.899999999999999" customHeight="1" x14ac:dyDescent="0.25">
      <c r="A161" s="3">
        <f t="shared" si="3"/>
        <v>159</v>
      </c>
      <c r="B161" s="4">
        <v>740247</v>
      </c>
      <c r="C161" s="7" t="s">
        <v>75</v>
      </c>
      <c r="D161" s="5">
        <v>2605623970</v>
      </c>
      <c r="E161" s="11" t="s">
        <v>76</v>
      </c>
      <c r="F161" s="11" t="s">
        <v>391</v>
      </c>
      <c r="G161" s="65"/>
      <c r="H161" s="8" t="s">
        <v>11</v>
      </c>
      <c r="I161" s="8" t="s">
        <v>12</v>
      </c>
      <c r="J161" s="9" t="s">
        <v>283</v>
      </c>
      <c r="K161" s="29"/>
    </row>
    <row r="162" spans="1:11" s="2" customFormat="1" ht="19.899999999999999" customHeight="1" x14ac:dyDescent="0.25">
      <c r="A162" s="3">
        <f t="shared" si="3"/>
        <v>160</v>
      </c>
      <c r="B162" s="4">
        <v>740265</v>
      </c>
      <c r="C162" s="10" t="s">
        <v>146</v>
      </c>
      <c r="D162" s="5">
        <v>2621878798</v>
      </c>
      <c r="E162" s="11" t="s">
        <v>150</v>
      </c>
      <c r="F162" s="8" t="s">
        <v>391</v>
      </c>
      <c r="G162" s="71"/>
      <c r="H162" s="8" t="s">
        <v>11</v>
      </c>
      <c r="I162" s="8" t="s">
        <v>12</v>
      </c>
      <c r="J162" s="9" t="s">
        <v>283</v>
      </c>
      <c r="K162" s="29"/>
    </row>
    <row r="163" spans="1:11" s="2" customFormat="1" ht="19.899999999999999" customHeight="1" x14ac:dyDescent="0.25">
      <c r="A163" s="3">
        <f t="shared" si="3"/>
        <v>161</v>
      </c>
      <c r="B163" s="4">
        <v>740268</v>
      </c>
      <c r="C163" s="10" t="s">
        <v>148</v>
      </c>
      <c r="D163" s="5">
        <v>2621878517</v>
      </c>
      <c r="E163" s="11" t="s">
        <v>152</v>
      </c>
      <c r="F163" s="8" t="s">
        <v>391</v>
      </c>
      <c r="G163" s="71"/>
      <c r="H163" s="8" t="s">
        <v>11</v>
      </c>
      <c r="I163" s="8" t="s">
        <v>12</v>
      </c>
      <c r="J163" s="9" t="s">
        <v>283</v>
      </c>
      <c r="K163" s="29"/>
    </row>
    <row r="164" spans="1:11" s="2" customFormat="1" ht="19.899999999999999" customHeight="1" x14ac:dyDescent="0.25">
      <c r="A164" s="3">
        <f t="shared" si="3"/>
        <v>162</v>
      </c>
      <c r="B164" s="4">
        <v>740276</v>
      </c>
      <c r="C164" s="7" t="s">
        <v>160</v>
      </c>
      <c r="D164" s="5">
        <v>2627921618</v>
      </c>
      <c r="E164" s="8" t="s">
        <v>166</v>
      </c>
      <c r="F164" s="8" t="s">
        <v>391</v>
      </c>
      <c r="G164" s="71"/>
      <c r="H164" s="8" t="s">
        <v>11</v>
      </c>
      <c r="I164" s="8" t="s">
        <v>12</v>
      </c>
      <c r="J164" s="8" t="s">
        <v>283</v>
      </c>
      <c r="K164" s="29"/>
    </row>
    <row r="165" spans="1:11" s="2" customFormat="1" ht="19.899999999999999" customHeight="1" x14ac:dyDescent="0.25">
      <c r="A165" s="3">
        <f t="shared" si="3"/>
        <v>163</v>
      </c>
      <c r="B165" s="4">
        <v>740277</v>
      </c>
      <c r="C165" s="7" t="s">
        <v>161</v>
      </c>
      <c r="D165" s="5">
        <v>2642945717</v>
      </c>
      <c r="E165" s="8" t="s">
        <v>152</v>
      </c>
      <c r="F165" s="8" t="s">
        <v>391</v>
      </c>
      <c r="G165" s="71"/>
      <c r="H165" s="8" t="s">
        <v>11</v>
      </c>
      <c r="I165" s="8" t="s">
        <v>381</v>
      </c>
      <c r="J165" s="8" t="s">
        <v>283</v>
      </c>
      <c r="K165" s="29"/>
    </row>
    <row r="166" spans="1:11" s="2" customFormat="1" ht="19.899999999999999" customHeight="1" x14ac:dyDescent="0.25">
      <c r="A166" s="3">
        <f t="shared" si="3"/>
        <v>164</v>
      </c>
      <c r="B166" s="4">
        <v>740285</v>
      </c>
      <c r="C166" s="7" t="s">
        <v>235</v>
      </c>
      <c r="D166" s="5">
        <v>2634806521</v>
      </c>
      <c r="E166" s="8" t="s">
        <v>186</v>
      </c>
      <c r="F166" s="8" t="s">
        <v>391</v>
      </c>
      <c r="G166" s="71"/>
      <c r="H166" s="8" t="s">
        <v>11</v>
      </c>
      <c r="I166" s="21" t="s">
        <v>381</v>
      </c>
      <c r="J166" s="8" t="s">
        <v>283</v>
      </c>
      <c r="K166" s="29"/>
    </row>
    <row r="167" spans="1:11" s="2" customFormat="1" ht="19.899999999999999" customHeight="1" x14ac:dyDescent="0.25">
      <c r="A167" s="3">
        <f t="shared" si="3"/>
        <v>165</v>
      </c>
      <c r="B167" s="4">
        <v>740301</v>
      </c>
      <c r="C167" s="18" t="s">
        <v>203</v>
      </c>
      <c r="D167" s="19">
        <v>2634809665</v>
      </c>
      <c r="E167" s="20" t="s">
        <v>88</v>
      </c>
      <c r="F167" s="8" t="s">
        <v>391</v>
      </c>
      <c r="G167" s="71"/>
      <c r="H167" s="21" t="s">
        <v>11</v>
      </c>
      <c r="I167" s="22" t="s">
        <v>381</v>
      </c>
      <c r="J167" s="8" t="s">
        <v>414</v>
      </c>
      <c r="K167" s="29"/>
    </row>
    <row r="168" spans="1:11" s="2" customFormat="1" ht="19.899999999999999" customHeight="1" x14ac:dyDescent="0.25">
      <c r="A168" s="3">
        <f t="shared" si="3"/>
        <v>166</v>
      </c>
      <c r="B168" s="4">
        <v>740353</v>
      </c>
      <c r="C168" s="7" t="s">
        <v>295</v>
      </c>
      <c r="D168" s="5">
        <v>2641294091</v>
      </c>
      <c r="E168" s="11" t="s">
        <v>296</v>
      </c>
      <c r="F168" s="8" t="s">
        <v>391</v>
      </c>
      <c r="G168" s="71"/>
      <c r="H168" s="8" t="s">
        <v>11</v>
      </c>
      <c r="I168" s="22" t="s">
        <v>381</v>
      </c>
      <c r="J168" s="8" t="s">
        <v>283</v>
      </c>
      <c r="K168" s="29"/>
    </row>
    <row r="169" spans="1:11" s="2" customFormat="1" ht="19.899999999999999" customHeight="1" x14ac:dyDescent="0.25">
      <c r="A169" s="3">
        <f t="shared" si="3"/>
        <v>167</v>
      </c>
      <c r="B169" s="4">
        <v>740246</v>
      </c>
      <c r="C169" s="10" t="s">
        <v>73</v>
      </c>
      <c r="D169" s="5">
        <v>2605623699</v>
      </c>
      <c r="E169" s="11" t="s">
        <v>74</v>
      </c>
      <c r="F169" s="8" t="s">
        <v>391</v>
      </c>
      <c r="G169" s="71"/>
      <c r="H169" s="8" t="s">
        <v>11</v>
      </c>
      <c r="I169" s="8" t="s">
        <v>12</v>
      </c>
      <c r="J169" s="8" t="s">
        <v>283</v>
      </c>
      <c r="K169" s="29"/>
    </row>
    <row r="170" spans="1:11" s="2" customFormat="1" ht="19.899999999999999" customHeight="1" x14ac:dyDescent="0.25">
      <c r="A170" s="3">
        <f t="shared" si="3"/>
        <v>168</v>
      </c>
      <c r="B170" s="4">
        <v>740254</v>
      </c>
      <c r="C170" s="7" t="s">
        <v>121</v>
      </c>
      <c r="D170" s="5">
        <v>2595360096</v>
      </c>
      <c r="E170" s="8" t="s">
        <v>122</v>
      </c>
      <c r="F170" s="8" t="s">
        <v>391</v>
      </c>
      <c r="G170" s="71"/>
      <c r="H170" s="8" t="s">
        <v>11</v>
      </c>
      <c r="I170" s="8" t="s">
        <v>12</v>
      </c>
      <c r="J170" s="8" t="s">
        <v>319</v>
      </c>
      <c r="K170" s="29"/>
    </row>
    <row r="171" spans="1:11" s="2" customFormat="1" ht="19.899999999999999" customHeight="1" x14ac:dyDescent="0.25">
      <c r="A171" s="3">
        <f t="shared" si="3"/>
        <v>169</v>
      </c>
      <c r="B171" s="4">
        <v>740274</v>
      </c>
      <c r="C171" s="7" t="s">
        <v>159</v>
      </c>
      <c r="D171" s="5">
        <v>2628977585</v>
      </c>
      <c r="E171" s="8" t="s">
        <v>42</v>
      </c>
      <c r="F171" s="8" t="s">
        <v>391</v>
      </c>
      <c r="G171" s="71"/>
      <c r="H171" s="8" t="s">
        <v>11</v>
      </c>
      <c r="I171" s="8" t="s">
        <v>381</v>
      </c>
      <c r="J171" s="8" t="s">
        <v>283</v>
      </c>
      <c r="K171" s="29"/>
    </row>
    <row r="172" spans="1:11" s="2" customFormat="1" ht="19.899999999999999" customHeight="1" x14ac:dyDescent="0.25">
      <c r="A172" s="3">
        <f t="shared" si="3"/>
        <v>170</v>
      </c>
      <c r="B172" s="4">
        <v>740364</v>
      </c>
      <c r="C172" s="7" t="s">
        <v>456</v>
      </c>
      <c r="D172" s="5" t="s">
        <v>459</v>
      </c>
      <c r="E172" s="8" t="s">
        <v>462</v>
      </c>
      <c r="F172" s="8" t="s">
        <v>391</v>
      </c>
      <c r="G172" s="71"/>
      <c r="H172" s="8" t="s">
        <v>11</v>
      </c>
      <c r="I172" s="8" t="s">
        <v>381</v>
      </c>
      <c r="J172" s="8" t="s">
        <v>283</v>
      </c>
      <c r="K172" s="29"/>
    </row>
    <row r="173" spans="1:11" s="2" customFormat="1" ht="19.899999999999999" customHeight="1" x14ac:dyDescent="0.25">
      <c r="A173" s="3">
        <f t="shared" si="3"/>
        <v>171</v>
      </c>
      <c r="B173" s="4">
        <v>740365</v>
      </c>
      <c r="C173" s="7" t="s">
        <v>457</v>
      </c>
      <c r="D173" s="5" t="s">
        <v>460</v>
      </c>
      <c r="E173" s="8" t="s">
        <v>463</v>
      </c>
      <c r="F173" s="8" t="s">
        <v>391</v>
      </c>
      <c r="G173" s="71"/>
      <c r="H173" s="8" t="s">
        <v>11</v>
      </c>
      <c r="I173" s="8" t="s">
        <v>381</v>
      </c>
      <c r="J173" s="8" t="s">
        <v>283</v>
      </c>
      <c r="K173" s="29"/>
    </row>
    <row r="174" spans="1:11" s="2" customFormat="1" ht="19.899999999999999" customHeight="1" x14ac:dyDescent="0.25">
      <c r="A174" s="3">
        <f t="shared" si="3"/>
        <v>172</v>
      </c>
      <c r="B174" s="4">
        <v>740366</v>
      </c>
      <c r="C174" s="7" t="s">
        <v>458</v>
      </c>
      <c r="D174" s="5" t="s">
        <v>461</v>
      </c>
      <c r="E174" s="8" t="s">
        <v>464</v>
      </c>
      <c r="F174" s="8" t="s">
        <v>391</v>
      </c>
      <c r="G174" s="71"/>
      <c r="H174" s="8" t="s">
        <v>11</v>
      </c>
      <c r="I174" s="8" t="s">
        <v>381</v>
      </c>
      <c r="J174" s="8" t="s">
        <v>283</v>
      </c>
      <c r="K174" s="29"/>
    </row>
    <row r="175" spans="1:11" s="2" customFormat="1" ht="19.899999999999999" customHeight="1" x14ac:dyDescent="0.25">
      <c r="A175" s="3">
        <f t="shared" si="3"/>
        <v>173</v>
      </c>
      <c r="B175" s="4">
        <v>740179</v>
      </c>
      <c r="C175" s="38" t="s">
        <v>124</v>
      </c>
      <c r="D175" s="5">
        <v>2513504957</v>
      </c>
      <c r="E175" s="8" t="s">
        <v>13</v>
      </c>
      <c r="F175" s="8" t="s">
        <v>392</v>
      </c>
      <c r="G175" s="71" t="s">
        <v>398</v>
      </c>
      <c r="H175" s="8" t="s">
        <v>11</v>
      </c>
      <c r="I175" s="8" t="s">
        <v>12</v>
      </c>
      <c r="J175" s="22" t="s">
        <v>476</v>
      </c>
      <c r="K175" s="93"/>
    </row>
    <row r="176" spans="1:11" s="2" customFormat="1" ht="19.899999999999999" customHeight="1" x14ac:dyDescent="0.25">
      <c r="A176" s="3">
        <f t="shared" si="3"/>
        <v>174</v>
      </c>
      <c r="B176" s="4">
        <v>740226</v>
      </c>
      <c r="C176" s="38" t="s">
        <v>81</v>
      </c>
      <c r="D176" s="5">
        <v>2536436906</v>
      </c>
      <c r="E176" s="8" t="s">
        <v>434</v>
      </c>
      <c r="F176" s="8" t="s">
        <v>392</v>
      </c>
      <c r="G176" s="71" t="s">
        <v>398</v>
      </c>
      <c r="H176" s="8" t="s">
        <v>14</v>
      </c>
      <c r="I176" s="8" t="s">
        <v>12</v>
      </c>
      <c r="J176" s="9" t="s">
        <v>414</v>
      </c>
      <c r="K176" s="92"/>
    </row>
    <row r="177" spans="1:11" s="2" customFormat="1" ht="19.899999999999999" customHeight="1" x14ac:dyDescent="0.25">
      <c r="A177" s="3">
        <f t="shared" si="3"/>
        <v>175</v>
      </c>
      <c r="B177" s="4">
        <v>740262</v>
      </c>
      <c r="C177" s="38" t="s">
        <v>142</v>
      </c>
      <c r="D177" s="5">
        <v>2612723557</v>
      </c>
      <c r="E177" s="8" t="s">
        <v>434</v>
      </c>
      <c r="F177" s="8" t="s">
        <v>392</v>
      </c>
      <c r="G177" s="71" t="s">
        <v>398</v>
      </c>
      <c r="H177" s="8" t="s">
        <v>20</v>
      </c>
      <c r="I177" s="8" t="s">
        <v>12</v>
      </c>
      <c r="J177" s="9" t="s">
        <v>414</v>
      </c>
      <c r="K177" s="92"/>
    </row>
    <row r="178" spans="1:11" s="2" customFormat="1" ht="19.899999999999999" customHeight="1" x14ac:dyDescent="0.25">
      <c r="A178" s="3">
        <f t="shared" si="3"/>
        <v>176</v>
      </c>
      <c r="B178" s="4">
        <v>710069</v>
      </c>
      <c r="C178" s="7" t="s">
        <v>50</v>
      </c>
      <c r="D178" s="5">
        <v>1025272624</v>
      </c>
      <c r="E178" s="8" t="s">
        <v>256</v>
      </c>
      <c r="F178" s="8" t="s">
        <v>392</v>
      </c>
      <c r="G178" s="71"/>
      <c r="H178" s="8" t="s">
        <v>45</v>
      </c>
      <c r="I178" s="8" t="s">
        <v>12</v>
      </c>
      <c r="J178" s="9" t="s">
        <v>319</v>
      </c>
      <c r="K178" s="29"/>
    </row>
    <row r="179" spans="1:11" s="2" customFormat="1" ht="19.899999999999999" customHeight="1" x14ac:dyDescent="0.25">
      <c r="A179" s="3">
        <f t="shared" si="3"/>
        <v>177</v>
      </c>
      <c r="B179" s="4">
        <v>710070</v>
      </c>
      <c r="C179" s="7" t="s">
        <v>53</v>
      </c>
      <c r="D179" s="5">
        <v>1114236175</v>
      </c>
      <c r="E179" s="8" t="s">
        <v>54</v>
      </c>
      <c r="F179" s="8" t="s">
        <v>392</v>
      </c>
      <c r="G179" s="71"/>
      <c r="H179" s="8" t="s">
        <v>45</v>
      </c>
      <c r="I179" s="8" t="s">
        <v>12</v>
      </c>
      <c r="J179" s="9" t="s">
        <v>319</v>
      </c>
      <c r="K179" s="29"/>
    </row>
    <row r="180" spans="1:11" s="2" customFormat="1" ht="19.899999999999999" customHeight="1" x14ac:dyDescent="0.25">
      <c r="A180" s="3">
        <f t="shared" si="3"/>
        <v>178</v>
      </c>
      <c r="B180" s="4">
        <v>710078</v>
      </c>
      <c r="C180" s="7" t="s">
        <v>52</v>
      </c>
      <c r="D180" s="5">
        <v>1075999050</v>
      </c>
      <c r="E180" s="8" t="s">
        <v>51</v>
      </c>
      <c r="F180" s="8" t="s">
        <v>392</v>
      </c>
      <c r="G180" s="71"/>
      <c r="H180" s="8" t="s">
        <v>45</v>
      </c>
      <c r="I180" s="8" t="s">
        <v>12</v>
      </c>
      <c r="J180" s="9" t="s">
        <v>319</v>
      </c>
      <c r="K180" s="29"/>
    </row>
    <row r="181" spans="1:11" s="2" customFormat="1" ht="19.899999999999999" customHeight="1" x14ac:dyDescent="0.25">
      <c r="A181" s="3">
        <f t="shared" si="3"/>
        <v>179</v>
      </c>
      <c r="B181" s="4">
        <v>710101</v>
      </c>
      <c r="C181" s="7" t="s">
        <v>169</v>
      </c>
      <c r="D181" s="5">
        <v>1024240234</v>
      </c>
      <c r="E181" s="8" t="s">
        <v>168</v>
      </c>
      <c r="F181" s="8" t="s">
        <v>392</v>
      </c>
      <c r="G181" s="71"/>
      <c r="H181" s="8" t="s">
        <v>45</v>
      </c>
      <c r="I181" s="8" t="s">
        <v>12</v>
      </c>
      <c r="J181" s="9" t="s">
        <v>319</v>
      </c>
      <c r="K181" s="29"/>
    </row>
    <row r="182" spans="1:11" s="2" customFormat="1" ht="19.899999999999999" customHeight="1" x14ac:dyDescent="0.25">
      <c r="A182" s="3">
        <f t="shared" si="3"/>
        <v>180</v>
      </c>
      <c r="B182" s="4">
        <v>740243</v>
      </c>
      <c r="C182" s="7" t="s">
        <v>106</v>
      </c>
      <c r="D182" s="5">
        <v>2605624564</v>
      </c>
      <c r="E182" s="8" t="s">
        <v>143</v>
      </c>
      <c r="F182" s="8" t="s">
        <v>392</v>
      </c>
      <c r="G182" s="71"/>
      <c r="H182" s="8" t="s">
        <v>11</v>
      </c>
      <c r="I182" s="12" t="s">
        <v>12</v>
      </c>
      <c r="J182" s="9" t="s">
        <v>319</v>
      </c>
      <c r="K182" s="29"/>
    </row>
    <row r="183" spans="1:11" s="2" customFormat="1" ht="19.899999999999999" customHeight="1" x14ac:dyDescent="0.25">
      <c r="A183" s="3">
        <f t="shared" si="3"/>
        <v>181</v>
      </c>
      <c r="B183" s="4">
        <v>740263</v>
      </c>
      <c r="C183" s="7" t="s">
        <v>144</v>
      </c>
      <c r="D183" s="5">
        <v>2587079803</v>
      </c>
      <c r="E183" s="8" t="s">
        <v>145</v>
      </c>
      <c r="F183" s="8" t="s">
        <v>392</v>
      </c>
      <c r="G183" s="71"/>
      <c r="H183" s="8" t="s">
        <v>11</v>
      </c>
      <c r="I183" s="8" t="s">
        <v>12</v>
      </c>
      <c r="J183" s="9" t="s">
        <v>319</v>
      </c>
      <c r="K183" s="29"/>
    </row>
    <row r="184" spans="1:11" s="2" customFormat="1" ht="19.899999999999999" customHeight="1" x14ac:dyDescent="0.25">
      <c r="A184" s="3">
        <f t="shared" si="3"/>
        <v>182</v>
      </c>
      <c r="B184" s="4">
        <v>810009</v>
      </c>
      <c r="C184" s="14" t="s">
        <v>320</v>
      </c>
      <c r="D184" s="5">
        <v>1028455358</v>
      </c>
      <c r="E184" s="15" t="s">
        <v>321</v>
      </c>
      <c r="F184" s="8" t="s">
        <v>392</v>
      </c>
      <c r="G184" s="71"/>
      <c r="H184" s="16" t="s">
        <v>45</v>
      </c>
      <c r="I184" s="21" t="s">
        <v>12</v>
      </c>
      <c r="J184" s="9" t="s">
        <v>319</v>
      </c>
      <c r="K184" s="29"/>
    </row>
    <row r="185" spans="1:11" s="2" customFormat="1" ht="19.899999999999999" customHeight="1" x14ac:dyDescent="0.25">
      <c r="A185" s="3">
        <f t="shared" si="3"/>
        <v>183</v>
      </c>
      <c r="B185" s="4">
        <v>710032</v>
      </c>
      <c r="C185" s="7" t="s">
        <v>116</v>
      </c>
      <c r="D185" s="5">
        <v>2227365836</v>
      </c>
      <c r="E185" s="8" t="s">
        <v>113</v>
      </c>
      <c r="F185" s="8" t="s">
        <v>392</v>
      </c>
      <c r="G185" s="71"/>
      <c r="H185" s="8" t="s">
        <v>114</v>
      </c>
      <c r="I185" s="8" t="s">
        <v>12</v>
      </c>
      <c r="J185" s="9" t="s">
        <v>406</v>
      </c>
      <c r="K185" s="29"/>
    </row>
    <row r="186" spans="1:11" s="2" customFormat="1" ht="19.899999999999999" customHeight="1" x14ac:dyDescent="0.25">
      <c r="A186" s="3">
        <f t="shared" si="3"/>
        <v>184</v>
      </c>
      <c r="B186" s="4">
        <v>710059</v>
      </c>
      <c r="C186" s="7" t="s">
        <v>118</v>
      </c>
      <c r="D186" s="5">
        <v>2487026086</v>
      </c>
      <c r="E186" s="8" t="s">
        <v>113</v>
      </c>
      <c r="F186" s="8" t="s">
        <v>392</v>
      </c>
      <c r="G186" s="71"/>
      <c r="H186" s="8" t="s">
        <v>114</v>
      </c>
      <c r="I186" s="8" t="s">
        <v>12</v>
      </c>
      <c r="J186" s="9" t="s">
        <v>406</v>
      </c>
      <c r="K186" s="29"/>
    </row>
    <row r="187" spans="1:11" s="2" customFormat="1" ht="19.899999999999999" customHeight="1" x14ac:dyDescent="0.25">
      <c r="A187" s="3">
        <f t="shared" si="3"/>
        <v>185</v>
      </c>
      <c r="B187" s="4">
        <v>710005</v>
      </c>
      <c r="C187" s="7" t="s">
        <v>110</v>
      </c>
      <c r="D187" s="5">
        <v>1026204923</v>
      </c>
      <c r="E187" s="8" t="s">
        <v>111</v>
      </c>
      <c r="F187" s="8" t="s">
        <v>392</v>
      </c>
      <c r="G187" s="71"/>
      <c r="H187" s="8" t="s">
        <v>45</v>
      </c>
      <c r="I187" s="8" t="s">
        <v>12</v>
      </c>
      <c r="J187" s="9" t="s">
        <v>318</v>
      </c>
      <c r="K187" s="29"/>
    </row>
    <row r="188" spans="1:11" s="2" customFormat="1" ht="19.899999999999999" customHeight="1" x14ac:dyDescent="0.25">
      <c r="A188" s="3">
        <f t="shared" si="3"/>
        <v>186</v>
      </c>
      <c r="B188" s="4">
        <v>740164</v>
      </c>
      <c r="C188" s="7" t="s">
        <v>102</v>
      </c>
      <c r="D188" s="5">
        <v>2427658725</v>
      </c>
      <c r="E188" s="8" t="s">
        <v>103</v>
      </c>
      <c r="F188" s="8" t="s">
        <v>392</v>
      </c>
      <c r="G188" s="71"/>
      <c r="H188" s="8" t="s">
        <v>11</v>
      </c>
      <c r="I188" s="8" t="s">
        <v>12</v>
      </c>
      <c r="J188" s="9" t="s">
        <v>318</v>
      </c>
      <c r="K188" s="29"/>
    </row>
    <row r="189" spans="1:11" s="2" customFormat="1" ht="19.899999999999999" customHeight="1" x14ac:dyDescent="0.25">
      <c r="A189" s="3">
        <f t="shared" si="3"/>
        <v>187</v>
      </c>
      <c r="B189" s="4">
        <v>710008</v>
      </c>
      <c r="C189" s="7" t="s">
        <v>112</v>
      </c>
      <c r="D189" s="5">
        <v>2227364938</v>
      </c>
      <c r="E189" s="8" t="s">
        <v>113</v>
      </c>
      <c r="F189" s="8" t="s">
        <v>392</v>
      </c>
      <c r="G189" s="71"/>
      <c r="H189" s="8" t="s">
        <v>114</v>
      </c>
      <c r="I189" s="8" t="s">
        <v>12</v>
      </c>
      <c r="J189" s="9" t="s">
        <v>115</v>
      </c>
      <c r="K189" s="29"/>
    </row>
    <row r="190" spans="1:11" s="2" customFormat="1" ht="19.899999999999999" customHeight="1" x14ac:dyDescent="0.25">
      <c r="A190" s="3">
        <f t="shared" si="3"/>
        <v>188</v>
      </c>
      <c r="B190" s="4">
        <v>710041</v>
      </c>
      <c r="C190" s="7" t="s">
        <v>117</v>
      </c>
      <c r="D190" s="5">
        <v>2048410290</v>
      </c>
      <c r="E190" s="8" t="s">
        <v>113</v>
      </c>
      <c r="F190" s="8" t="s">
        <v>392</v>
      </c>
      <c r="G190" s="71"/>
      <c r="H190" s="8" t="s">
        <v>114</v>
      </c>
      <c r="I190" s="8" t="s">
        <v>12</v>
      </c>
      <c r="J190" s="9" t="s">
        <v>115</v>
      </c>
      <c r="K190" s="29"/>
    </row>
    <row r="191" spans="1:11" s="2" customFormat="1" ht="19.899999999999999" customHeight="1" x14ac:dyDescent="0.25">
      <c r="A191" s="3">
        <f t="shared" si="3"/>
        <v>189</v>
      </c>
      <c r="B191" s="4">
        <v>740242</v>
      </c>
      <c r="C191" s="7" t="s">
        <v>100</v>
      </c>
      <c r="D191" s="19">
        <v>2587077955</v>
      </c>
      <c r="E191" s="20" t="s">
        <v>101</v>
      </c>
      <c r="F191" s="8" t="s">
        <v>392</v>
      </c>
      <c r="G191" s="71"/>
      <c r="H191" s="21" t="s">
        <v>11</v>
      </c>
      <c r="I191" s="21" t="s">
        <v>12</v>
      </c>
      <c r="J191" s="9" t="s">
        <v>318</v>
      </c>
      <c r="K191" s="29"/>
    </row>
    <row r="192" spans="1:11" s="2" customFormat="1" ht="19.899999999999999" customHeight="1" x14ac:dyDescent="0.25">
      <c r="A192" s="3">
        <f t="shared" si="3"/>
        <v>190</v>
      </c>
      <c r="B192" s="4">
        <v>710072</v>
      </c>
      <c r="C192" s="7" t="s">
        <v>46</v>
      </c>
      <c r="D192" s="5">
        <v>1073532838</v>
      </c>
      <c r="E192" s="8" t="s">
        <v>47</v>
      </c>
      <c r="F192" s="8" t="s">
        <v>393</v>
      </c>
      <c r="G192" s="71"/>
      <c r="H192" s="8" t="s">
        <v>45</v>
      </c>
      <c r="I192" s="8" t="s">
        <v>12</v>
      </c>
      <c r="J192" s="9" t="s">
        <v>382</v>
      </c>
      <c r="K192" s="31"/>
    </row>
    <row r="193" spans="1:11" s="2" customFormat="1" ht="19.899999999999999" customHeight="1" x14ac:dyDescent="0.25">
      <c r="A193" s="3">
        <f t="shared" si="3"/>
        <v>191</v>
      </c>
      <c r="B193" s="4">
        <v>710073</v>
      </c>
      <c r="C193" s="7" t="s">
        <v>48</v>
      </c>
      <c r="D193" s="5">
        <v>1082755552</v>
      </c>
      <c r="E193" s="8" t="s">
        <v>47</v>
      </c>
      <c r="F193" s="8" t="s">
        <v>393</v>
      </c>
      <c r="G193" s="71"/>
      <c r="H193" s="8" t="s">
        <v>45</v>
      </c>
      <c r="I193" s="8" t="s">
        <v>12</v>
      </c>
      <c r="J193" s="9" t="s">
        <v>382</v>
      </c>
      <c r="K193" s="31"/>
    </row>
    <row r="194" spans="1:11" s="2" customFormat="1" ht="19.899999999999999" customHeight="1" x14ac:dyDescent="0.25">
      <c r="A194" s="3">
        <f t="shared" si="3"/>
        <v>192</v>
      </c>
      <c r="B194" s="4">
        <v>710074</v>
      </c>
      <c r="C194" s="7" t="s">
        <v>57</v>
      </c>
      <c r="D194" s="5">
        <v>1029197017</v>
      </c>
      <c r="E194" s="8" t="s">
        <v>58</v>
      </c>
      <c r="F194" s="8" t="s">
        <v>393</v>
      </c>
      <c r="G194" s="71"/>
      <c r="H194" s="8" t="s">
        <v>45</v>
      </c>
      <c r="I194" s="8" t="s">
        <v>12</v>
      </c>
      <c r="J194" s="9" t="s">
        <v>382</v>
      </c>
      <c r="K194" s="31"/>
    </row>
    <row r="195" spans="1:11" s="2" customFormat="1" ht="19.899999999999999" customHeight="1" x14ac:dyDescent="0.25">
      <c r="A195" s="3">
        <f t="shared" si="3"/>
        <v>193</v>
      </c>
      <c r="B195" s="4">
        <v>710075</v>
      </c>
      <c r="C195" s="7" t="s">
        <v>59</v>
      </c>
      <c r="D195" s="5">
        <v>1051987236</v>
      </c>
      <c r="E195" s="8" t="s">
        <v>58</v>
      </c>
      <c r="F195" s="8" t="s">
        <v>393</v>
      </c>
      <c r="G195" s="71"/>
      <c r="H195" s="8" t="s">
        <v>45</v>
      </c>
      <c r="I195" s="8" t="s">
        <v>12</v>
      </c>
      <c r="J195" s="9" t="s">
        <v>382</v>
      </c>
      <c r="K195" s="31"/>
    </row>
    <row r="196" spans="1:11" s="2" customFormat="1" ht="19.899999999999999" customHeight="1" x14ac:dyDescent="0.25">
      <c r="A196" s="3">
        <f t="shared" si="3"/>
        <v>194</v>
      </c>
      <c r="B196" s="4">
        <v>710077</v>
      </c>
      <c r="C196" s="7" t="s">
        <v>49</v>
      </c>
      <c r="D196" s="5">
        <v>1014522567</v>
      </c>
      <c r="E196" s="8" t="s">
        <v>47</v>
      </c>
      <c r="F196" s="8" t="s">
        <v>393</v>
      </c>
      <c r="G196" s="71"/>
      <c r="H196" s="8" t="s">
        <v>45</v>
      </c>
      <c r="I196" s="8" t="s">
        <v>12</v>
      </c>
      <c r="J196" s="9" t="s">
        <v>382</v>
      </c>
      <c r="K196" s="31"/>
    </row>
    <row r="197" spans="1:11" s="2" customFormat="1" ht="19.899999999999999" customHeight="1" x14ac:dyDescent="0.25">
      <c r="A197" s="3">
        <f t="shared" si="3"/>
        <v>195</v>
      </c>
      <c r="B197" s="4">
        <v>710082</v>
      </c>
      <c r="C197" s="7" t="s">
        <v>55</v>
      </c>
      <c r="D197" s="5">
        <v>1099811737</v>
      </c>
      <c r="E197" s="11" t="s">
        <v>54</v>
      </c>
      <c r="F197" s="8" t="s">
        <v>393</v>
      </c>
      <c r="G197" s="71"/>
      <c r="H197" s="8" t="s">
        <v>45</v>
      </c>
      <c r="I197" s="8" t="s">
        <v>12</v>
      </c>
      <c r="J197" s="9" t="s">
        <v>382</v>
      </c>
      <c r="K197" s="31"/>
    </row>
    <row r="198" spans="1:11" s="2" customFormat="1" ht="19.899999999999999" customHeight="1" x14ac:dyDescent="0.25">
      <c r="A198" s="3">
        <f t="shared" si="3"/>
        <v>196</v>
      </c>
      <c r="B198" s="4">
        <v>710085</v>
      </c>
      <c r="C198" s="10" t="s">
        <v>56</v>
      </c>
      <c r="D198" s="5">
        <v>1122354994</v>
      </c>
      <c r="E198" s="11" t="s">
        <v>54</v>
      </c>
      <c r="F198" s="8" t="s">
        <v>393</v>
      </c>
      <c r="G198" s="71"/>
      <c r="H198" s="8" t="s">
        <v>45</v>
      </c>
      <c r="I198" s="8" t="s">
        <v>12</v>
      </c>
      <c r="J198" s="9" t="s">
        <v>382</v>
      </c>
      <c r="K198" s="31"/>
    </row>
    <row r="199" spans="1:11" s="2" customFormat="1" ht="19.899999999999999" customHeight="1" x14ac:dyDescent="0.25">
      <c r="A199" s="3">
        <f t="shared" si="3"/>
        <v>197</v>
      </c>
      <c r="B199" s="4">
        <v>710091</v>
      </c>
      <c r="C199" s="10" t="s">
        <v>60</v>
      </c>
      <c r="D199" s="5">
        <v>1169000302</v>
      </c>
      <c r="E199" s="8" t="s">
        <v>61</v>
      </c>
      <c r="F199" s="8" t="s">
        <v>393</v>
      </c>
      <c r="G199" s="71"/>
      <c r="H199" s="8" t="s">
        <v>45</v>
      </c>
      <c r="I199" s="8" t="s">
        <v>12</v>
      </c>
      <c r="J199" s="9" t="s">
        <v>382</v>
      </c>
      <c r="K199" s="31"/>
    </row>
    <row r="200" spans="1:11" s="2" customFormat="1" ht="19.899999999999999" customHeight="1" x14ac:dyDescent="0.25">
      <c r="A200" s="3">
        <f t="shared" si="3"/>
        <v>198</v>
      </c>
      <c r="B200" s="4">
        <v>710092</v>
      </c>
      <c r="C200" s="10" t="s">
        <v>62</v>
      </c>
      <c r="D200" s="5">
        <v>1032879866</v>
      </c>
      <c r="E200" s="8" t="s">
        <v>63</v>
      </c>
      <c r="F200" s="8" t="s">
        <v>393</v>
      </c>
      <c r="G200" s="71"/>
      <c r="H200" s="8" t="s">
        <v>45</v>
      </c>
      <c r="I200" s="8" t="s">
        <v>12</v>
      </c>
      <c r="J200" s="9" t="s">
        <v>382</v>
      </c>
      <c r="K200" s="31"/>
    </row>
    <row r="201" spans="1:11" s="2" customFormat="1" ht="19.899999999999999" customHeight="1" x14ac:dyDescent="0.25">
      <c r="A201" s="3">
        <f t="shared" si="3"/>
        <v>199</v>
      </c>
      <c r="B201" s="4">
        <v>710093</v>
      </c>
      <c r="C201" s="10" t="s">
        <v>64</v>
      </c>
      <c r="D201" s="5">
        <v>1077513586</v>
      </c>
      <c r="E201" s="8" t="s">
        <v>44</v>
      </c>
      <c r="F201" s="8" t="s">
        <v>393</v>
      </c>
      <c r="G201" s="71"/>
      <c r="H201" s="8" t="s">
        <v>45</v>
      </c>
      <c r="I201" s="8" t="s">
        <v>12</v>
      </c>
      <c r="J201" s="9" t="s">
        <v>382</v>
      </c>
      <c r="K201" s="31"/>
    </row>
    <row r="202" spans="1:11" s="2" customFormat="1" ht="19.899999999999999" customHeight="1" x14ac:dyDescent="0.25">
      <c r="A202" s="3">
        <f t="shared" si="3"/>
        <v>200</v>
      </c>
      <c r="B202" s="4">
        <v>710094</v>
      </c>
      <c r="C202" s="10" t="s">
        <v>65</v>
      </c>
      <c r="D202" s="5">
        <v>1074345917</v>
      </c>
      <c r="E202" s="8" t="s">
        <v>66</v>
      </c>
      <c r="F202" s="8" t="s">
        <v>393</v>
      </c>
      <c r="G202" s="71"/>
      <c r="H202" s="8" t="s">
        <v>45</v>
      </c>
      <c r="I202" s="8" t="s">
        <v>12</v>
      </c>
      <c r="J202" s="9" t="s">
        <v>382</v>
      </c>
      <c r="K202" s="56"/>
    </row>
    <row r="203" spans="1:11" s="2" customFormat="1" ht="19.899999999999999" customHeight="1" x14ac:dyDescent="0.25">
      <c r="A203" s="3">
        <f t="shared" si="3"/>
        <v>201</v>
      </c>
      <c r="B203" s="4">
        <v>710095</v>
      </c>
      <c r="C203" s="10" t="s">
        <v>67</v>
      </c>
      <c r="D203" s="5">
        <v>1045215108</v>
      </c>
      <c r="E203" s="8" t="s">
        <v>68</v>
      </c>
      <c r="F203" s="8" t="s">
        <v>393</v>
      </c>
      <c r="G203" s="71"/>
      <c r="H203" s="8" t="s">
        <v>45</v>
      </c>
      <c r="I203" s="8" t="s">
        <v>12</v>
      </c>
      <c r="J203" s="9" t="s">
        <v>382</v>
      </c>
      <c r="K203" s="31"/>
    </row>
    <row r="204" spans="1:11" s="2" customFormat="1" ht="19.899999999999999" customHeight="1" x14ac:dyDescent="0.25">
      <c r="A204" s="3">
        <f t="shared" si="3"/>
        <v>202</v>
      </c>
      <c r="B204" s="4">
        <v>710096</v>
      </c>
      <c r="C204" s="10" t="s">
        <v>69</v>
      </c>
      <c r="D204" s="5">
        <v>1067998086</v>
      </c>
      <c r="E204" s="8" t="s">
        <v>58</v>
      </c>
      <c r="F204" s="8" t="s">
        <v>393</v>
      </c>
      <c r="G204" s="71"/>
      <c r="H204" s="8" t="s">
        <v>45</v>
      </c>
      <c r="I204" s="8" t="s">
        <v>12</v>
      </c>
      <c r="J204" s="9" t="s">
        <v>382</v>
      </c>
      <c r="K204" s="49"/>
    </row>
    <row r="205" spans="1:11" s="2" customFormat="1" ht="19.899999999999999" customHeight="1" x14ac:dyDescent="0.25">
      <c r="A205" s="3">
        <f t="shared" si="3"/>
        <v>203</v>
      </c>
      <c r="B205" s="4">
        <v>710097</v>
      </c>
      <c r="C205" s="10" t="s">
        <v>70</v>
      </c>
      <c r="D205" s="5">
        <v>1085042727</v>
      </c>
      <c r="E205" s="8" t="s">
        <v>255</v>
      </c>
      <c r="F205" s="8" t="s">
        <v>393</v>
      </c>
      <c r="G205" s="71"/>
      <c r="H205" s="8" t="s">
        <v>45</v>
      </c>
      <c r="I205" s="8" t="s">
        <v>12</v>
      </c>
      <c r="J205" s="9" t="s">
        <v>382</v>
      </c>
      <c r="K205" s="49"/>
    </row>
    <row r="206" spans="1:11" s="2" customFormat="1" ht="19.899999999999999" customHeight="1" x14ac:dyDescent="0.25">
      <c r="A206" s="3">
        <f t="shared" si="3"/>
        <v>204</v>
      </c>
      <c r="B206" s="4">
        <v>710103</v>
      </c>
      <c r="C206" s="13" t="s">
        <v>239</v>
      </c>
      <c r="D206" s="5">
        <v>1124732726</v>
      </c>
      <c r="E206" s="11" t="s">
        <v>63</v>
      </c>
      <c r="F206" s="8" t="s">
        <v>393</v>
      </c>
      <c r="G206" s="71"/>
      <c r="H206" s="8" t="s">
        <v>45</v>
      </c>
      <c r="I206" s="17" t="s">
        <v>12</v>
      </c>
      <c r="J206" s="8" t="s">
        <v>382</v>
      </c>
      <c r="K206" s="49"/>
    </row>
    <row r="207" spans="1:11" s="2" customFormat="1" ht="19.899999999999999" customHeight="1" x14ac:dyDescent="0.25">
      <c r="A207" s="3">
        <f t="shared" si="3"/>
        <v>205</v>
      </c>
      <c r="B207" s="4">
        <v>710105</v>
      </c>
      <c r="C207" s="13" t="s">
        <v>240</v>
      </c>
      <c r="D207" s="5">
        <v>1103909634</v>
      </c>
      <c r="E207" s="11" t="s">
        <v>63</v>
      </c>
      <c r="F207" s="8" t="s">
        <v>393</v>
      </c>
      <c r="G207" s="71"/>
      <c r="H207" s="8" t="s">
        <v>45</v>
      </c>
      <c r="I207" s="17" t="s">
        <v>12</v>
      </c>
      <c r="J207" s="8" t="s">
        <v>382</v>
      </c>
      <c r="K207" s="31"/>
    </row>
    <row r="208" spans="1:11" s="2" customFormat="1" ht="19.899999999999999" customHeight="1" x14ac:dyDescent="0.25">
      <c r="A208" s="3">
        <f t="shared" si="3"/>
        <v>206</v>
      </c>
      <c r="B208" s="4">
        <v>710106</v>
      </c>
      <c r="C208" s="13" t="s">
        <v>241</v>
      </c>
      <c r="D208" s="5">
        <v>1140037753</v>
      </c>
      <c r="E208" s="11" t="s">
        <v>242</v>
      </c>
      <c r="F208" s="8" t="s">
        <v>393</v>
      </c>
      <c r="G208" s="71"/>
      <c r="H208" s="8" t="s">
        <v>45</v>
      </c>
      <c r="I208" s="17" t="s">
        <v>12</v>
      </c>
      <c r="J208" s="8" t="s">
        <v>382</v>
      </c>
      <c r="K208" s="49"/>
    </row>
    <row r="209" spans="1:11" s="2" customFormat="1" ht="19.899999999999999" customHeight="1" x14ac:dyDescent="0.25">
      <c r="A209" s="3">
        <f t="shared" ref="A209:A262" si="4">ROW()-2</f>
        <v>207</v>
      </c>
      <c r="B209" s="4">
        <v>710107</v>
      </c>
      <c r="C209" s="13" t="s">
        <v>254</v>
      </c>
      <c r="D209" s="5">
        <v>1083938058</v>
      </c>
      <c r="E209" s="11" t="s">
        <v>68</v>
      </c>
      <c r="F209" s="8" t="s">
        <v>393</v>
      </c>
      <c r="G209" s="71"/>
      <c r="H209" s="8" t="s">
        <v>45</v>
      </c>
      <c r="I209" s="57" t="s">
        <v>12</v>
      </c>
      <c r="J209" s="8" t="s">
        <v>382</v>
      </c>
      <c r="K209" s="31"/>
    </row>
    <row r="210" spans="1:11" s="2" customFormat="1" ht="19.899999999999999" customHeight="1" x14ac:dyDescent="0.25">
      <c r="A210" s="3">
        <f t="shared" si="4"/>
        <v>208</v>
      </c>
      <c r="B210" s="4">
        <v>710108</v>
      </c>
      <c r="C210" s="13" t="s">
        <v>243</v>
      </c>
      <c r="D210" s="5">
        <v>1010679312</v>
      </c>
      <c r="E210" s="11" t="s">
        <v>66</v>
      </c>
      <c r="F210" s="8" t="s">
        <v>393</v>
      </c>
      <c r="G210" s="71"/>
      <c r="H210" s="8" t="s">
        <v>45</v>
      </c>
      <c r="I210" s="57" t="s">
        <v>12</v>
      </c>
      <c r="J210" s="8" t="s">
        <v>382</v>
      </c>
      <c r="K210" s="31"/>
    </row>
    <row r="211" spans="1:11" s="2" customFormat="1" ht="19.899999999999999" customHeight="1" x14ac:dyDescent="0.25">
      <c r="A211" s="3">
        <f t="shared" si="4"/>
        <v>209</v>
      </c>
      <c r="B211" s="4">
        <v>710109</v>
      </c>
      <c r="C211" s="13" t="s">
        <v>244</v>
      </c>
      <c r="D211" s="5">
        <v>1083094936</v>
      </c>
      <c r="E211" s="11" t="s">
        <v>63</v>
      </c>
      <c r="F211" s="8" t="s">
        <v>393</v>
      </c>
      <c r="G211" s="71"/>
      <c r="H211" s="8" t="s">
        <v>45</v>
      </c>
      <c r="I211" s="17" t="s">
        <v>12</v>
      </c>
      <c r="J211" s="8" t="s">
        <v>382</v>
      </c>
      <c r="K211" s="31"/>
    </row>
    <row r="212" spans="1:11" s="2" customFormat="1" ht="19.899999999999999" customHeight="1" x14ac:dyDescent="0.25">
      <c r="A212" s="3">
        <f t="shared" si="4"/>
        <v>210</v>
      </c>
      <c r="B212" s="4">
        <v>710110</v>
      </c>
      <c r="C212" s="13" t="s">
        <v>245</v>
      </c>
      <c r="D212" s="5">
        <v>1094976071</v>
      </c>
      <c r="E212" s="11" t="s">
        <v>246</v>
      </c>
      <c r="F212" s="8" t="s">
        <v>393</v>
      </c>
      <c r="G212" s="71"/>
      <c r="H212" s="8" t="s">
        <v>45</v>
      </c>
      <c r="I212" s="57" t="s">
        <v>12</v>
      </c>
      <c r="J212" s="8" t="s">
        <v>382</v>
      </c>
      <c r="K212" s="29"/>
    </row>
    <row r="213" spans="1:11" s="2" customFormat="1" ht="19.899999999999999" customHeight="1" x14ac:dyDescent="0.25">
      <c r="A213" s="3">
        <f t="shared" si="4"/>
        <v>211</v>
      </c>
      <c r="B213" s="4">
        <v>710111</v>
      </c>
      <c r="C213" s="13" t="s">
        <v>247</v>
      </c>
      <c r="D213" s="5">
        <v>1145676423</v>
      </c>
      <c r="E213" s="11" t="s">
        <v>248</v>
      </c>
      <c r="F213" s="8" t="s">
        <v>393</v>
      </c>
      <c r="G213" s="71"/>
      <c r="H213" s="8" t="s">
        <v>45</v>
      </c>
      <c r="I213" s="17" t="s">
        <v>12</v>
      </c>
      <c r="J213" s="8" t="s">
        <v>382</v>
      </c>
      <c r="K213" s="29"/>
    </row>
    <row r="214" spans="1:11" s="2" customFormat="1" ht="19.899999999999999" customHeight="1" x14ac:dyDescent="0.25">
      <c r="A214" s="3">
        <f t="shared" si="4"/>
        <v>212</v>
      </c>
      <c r="B214" s="4">
        <v>710113</v>
      </c>
      <c r="C214" s="13" t="s">
        <v>249</v>
      </c>
      <c r="D214" s="5">
        <v>1077769584</v>
      </c>
      <c r="E214" s="11" t="s">
        <v>63</v>
      </c>
      <c r="F214" s="8" t="s">
        <v>393</v>
      </c>
      <c r="G214" s="71"/>
      <c r="H214" s="8" t="s">
        <v>45</v>
      </c>
      <c r="I214" s="17" t="s">
        <v>12</v>
      </c>
      <c r="J214" s="8" t="s">
        <v>382</v>
      </c>
      <c r="K214" s="29"/>
    </row>
    <row r="215" spans="1:11" s="2" customFormat="1" ht="19.899999999999999" customHeight="1" x14ac:dyDescent="0.25">
      <c r="A215" s="3">
        <f t="shared" si="4"/>
        <v>213</v>
      </c>
      <c r="B215" s="37">
        <v>710114</v>
      </c>
      <c r="C215" s="53" t="s">
        <v>250</v>
      </c>
      <c r="D215" s="5">
        <v>1102523410</v>
      </c>
      <c r="E215" s="50" t="s">
        <v>248</v>
      </c>
      <c r="F215" s="8" t="s">
        <v>393</v>
      </c>
      <c r="G215" s="67"/>
      <c r="H215" s="6" t="s">
        <v>45</v>
      </c>
      <c r="I215" s="17" t="s">
        <v>12</v>
      </c>
      <c r="J215" s="8" t="s">
        <v>382</v>
      </c>
      <c r="K215" s="29"/>
    </row>
    <row r="216" spans="1:11" s="2" customFormat="1" ht="19.899999999999999" customHeight="1" x14ac:dyDescent="0.25">
      <c r="A216" s="3">
        <f t="shared" si="4"/>
        <v>214</v>
      </c>
      <c r="B216" s="4">
        <v>710116</v>
      </c>
      <c r="C216" s="13" t="s">
        <v>251</v>
      </c>
      <c r="D216" s="5">
        <v>1123323238</v>
      </c>
      <c r="E216" s="11" t="s">
        <v>252</v>
      </c>
      <c r="F216" s="8" t="s">
        <v>393</v>
      </c>
      <c r="G216" s="71"/>
      <c r="H216" s="8" t="s">
        <v>45</v>
      </c>
      <c r="I216" s="17" t="s">
        <v>12</v>
      </c>
      <c r="J216" s="9" t="s">
        <v>382</v>
      </c>
      <c r="K216" s="29"/>
    </row>
    <row r="217" spans="1:11" s="2" customFormat="1" ht="19.899999999999999" customHeight="1" x14ac:dyDescent="0.25">
      <c r="A217" s="3">
        <f t="shared" si="4"/>
        <v>215</v>
      </c>
      <c r="B217" s="4">
        <v>710117</v>
      </c>
      <c r="C217" s="13" t="s">
        <v>253</v>
      </c>
      <c r="D217" s="5">
        <v>1041297266</v>
      </c>
      <c r="E217" s="11" t="s">
        <v>242</v>
      </c>
      <c r="F217" s="8" t="s">
        <v>393</v>
      </c>
      <c r="G217" s="71"/>
      <c r="H217" s="8" t="s">
        <v>45</v>
      </c>
      <c r="I217" s="17" t="s">
        <v>12</v>
      </c>
      <c r="J217" s="9" t="s">
        <v>382</v>
      </c>
      <c r="K217" s="32"/>
    </row>
    <row r="218" spans="1:11" s="2" customFormat="1" ht="19.899999999999999" customHeight="1" x14ac:dyDescent="0.25">
      <c r="A218" s="3">
        <f t="shared" si="4"/>
        <v>216</v>
      </c>
      <c r="B218" s="4">
        <v>710118</v>
      </c>
      <c r="C218" s="13" t="s">
        <v>257</v>
      </c>
      <c r="D218" s="5">
        <v>1008924316</v>
      </c>
      <c r="E218" s="11" t="s">
        <v>258</v>
      </c>
      <c r="F218" s="8" t="s">
        <v>393</v>
      </c>
      <c r="G218" s="71"/>
      <c r="H218" s="8" t="s">
        <v>45</v>
      </c>
      <c r="I218" s="17" t="s">
        <v>12</v>
      </c>
      <c r="J218" s="9" t="s">
        <v>382</v>
      </c>
      <c r="K218" s="32"/>
    </row>
    <row r="219" spans="1:11" s="2" customFormat="1" ht="19.899999999999999" customHeight="1" x14ac:dyDescent="0.25">
      <c r="A219" s="3">
        <f t="shared" si="4"/>
        <v>217</v>
      </c>
      <c r="B219" s="4">
        <v>710121</v>
      </c>
      <c r="C219" s="13" t="s">
        <v>261</v>
      </c>
      <c r="D219" s="5">
        <v>1091083822</v>
      </c>
      <c r="E219" s="11" t="s">
        <v>262</v>
      </c>
      <c r="F219" s="8" t="s">
        <v>393</v>
      </c>
      <c r="G219" s="71"/>
      <c r="H219" s="8" t="s">
        <v>45</v>
      </c>
      <c r="I219" s="17" t="s">
        <v>12</v>
      </c>
      <c r="J219" s="9" t="s">
        <v>382</v>
      </c>
      <c r="K219" s="32"/>
    </row>
    <row r="220" spans="1:11" s="2" customFormat="1" ht="19.899999999999999" customHeight="1" x14ac:dyDescent="0.25">
      <c r="A220" s="3">
        <f t="shared" si="4"/>
        <v>218</v>
      </c>
      <c r="B220" s="4">
        <v>710123</v>
      </c>
      <c r="C220" s="7" t="s">
        <v>326</v>
      </c>
      <c r="D220" s="5">
        <v>1081468264</v>
      </c>
      <c r="E220" s="11" t="s">
        <v>357</v>
      </c>
      <c r="F220" s="8" t="s">
        <v>393</v>
      </c>
      <c r="G220" s="71"/>
      <c r="H220" s="8" t="s">
        <v>45</v>
      </c>
      <c r="I220" s="21" t="s">
        <v>381</v>
      </c>
      <c r="J220" s="9" t="s">
        <v>382</v>
      </c>
      <c r="K220" s="31"/>
    </row>
    <row r="221" spans="1:11" s="2" customFormat="1" ht="19.899999999999999" customHeight="1" x14ac:dyDescent="0.25">
      <c r="A221" s="3">
        <f t="shared" si="4"/>
        <v>219</v>
      </c>
      <c r="B221" s="4">
        <v>710124</v>
      </c>
      <c r="C221" s="7" t="s">
        <v>327</v>
      </c>
      <c r="D221" s="5">
        <v>1122118159</v>
      </c>
      <c r="E221" s="11" t="s">
        <v>358</v>
      </c>
      <c r="F221" s="8" t="s">
        <v>393</v>
      </c>
      <c r="G221" s="71"/>
      <c r="H221" s="8" t="s">
        <v>45</v>
      </c>
      <c r="I221" s="21" t="s">
        <v>381</v>
      </c>
      <c r="J221" s="9" t="s">
        <v>382</v>
      </c>
      <c r="K221" s="31"/>
    </row>
    <row r="222" spans="1:11" s="2" customFormat="1" ht="19.899999999999999" customHeight="1" x14ac:dyDescent="0.25">
      <c r="A222" s="3">
        <f t="shared" si="4"/>
        <v>220</v>
      </c>
      <c r="B222" s="4">
        <v>710125</v>
      </c>
      <c r="C222" s="7" t="s">
        <v>328</v>
      </c>
      <c r="D222" s="5">
        <v>1119022125</v>
      </c>
      <c r="E222" s="11" t="s">
        <v>359</v>
      </c>
      <c r="F222" s="8" t="s">
        <v>393</v>
      </c>
      <c r="G222" s="71"/>
      <c r="H222" s="8" t="s">
        <v>45</v>
      </c>
      <c r="I222" s="21" t="s">
        <v>381</v>
      </c>
      <c r="J222" s="9" t="s">
        <v>382</v>
      </c>
      <c r="K222" s="31"/>
    </row>
    <row r="223" spans="1:11" s="2" customFormat="1" ht="19.899999999999999" customHeight="1" x14ac:dyDescent="0.25">
      <c r="A223" s="3">
        <f t="shared" si="4"/>
        <v>221</v>
      </c>
      <c r="B223" s="4">
        <v>710126</v>
      </c>
      <c r="C223" s="7" t="s">
        <v>329</v>
      </c>
      <c r="D223" s="5">
        <v>1130676016</v>
      </c>
      <c r="E223" s="11" t="s">
        <v>358</v>
      </c>
      <c r="F223" s="8" t="s">
        <v>393</v>
      </c>
      <c r="G223" s="71"/>
      <c r="H223" s="8" t="s">
        <v>45</v>
      </c>
      <c r="I223" s="21" t="s">
        <v>381</v>
      </c>
      <c r="J223" s="9" t="s">
        <v>382</v>
      </c>
      <c r="K223" s="31"/>
    </row>
    <row r="224" spans="1:11" s="2" customFormat="1" ht="19.899999999999999" customHeight="1" x14ac:dyDescent="0.25">
      <c r="A224" s="3">
        <f t="shared" si="4"/>
        <v>222</v>
      </c>
      <c r="B224" s="4">
        <v>710127</v>
      </c>
      <c r="C224" s="7" t="s">
        <v>330</v>
      </c>
      <c r="D224" s="5">
        <v>1093663407</v>
      </c>
      <c r="E224" s="11" t="s">
        <v>360</v>
      </c>
      <c r="F224" s="8" t="s">
        <v>393</v>
      </c>
      <c r="G224" s="71"/>
      <c r="H224" s="8" t="s">
        <v>45</v>
      </c>
      <c r="I224" s="21" t="s">
        <v>381</v>
      </c>
      <c r="J224" s="9" t="s">
        <v>382</v>
      </c>
      <c r="K224" s="31"/>
    </row>
    <row r="225" spans="1:11" s="2" customFormat="1" ht="19.899999999999999" customHeight="1" x14ac:dyDescent="0.25">
      <c r="A225" s="3">
        <f t="shared" si="4"/>
        <v>223</v>
      </c>
      <c r="B225" s="4">
        <v>710128</v>
      </c>
      <c r="C225" s="7" t="s">
        <v>331</v>
      </c>
      <c r="D225" s="5">
        <v>1008070052</v>
      </c>
      <c r="E225" s="11" t="s">
        <v>361</v>
      </c>
      <c r="F225" s="8" t="s">
        <v>393</v>
      </c>
      <c r="G225" s="71"/>
      <c r="H225" s="8" t="s">
        <v>45</v>
      </c>
      <c r="I225" s="21" t="s">
        <v>381</v>
      </c>
      <c r="J225" s="9" t="s">
        <v>382</v>
      </c>
      <c r="K225" s="31"/>
    </row>
    <row r="226" spans="1:11" s="2" customFormat="1" ht="19.899999999999999" customHeight="1" x14ac:dyDescent="0.25">
      <c r="A226" s="3">
        <f t="shared" si="4"/>
        <v>224</v>
      </c>
      <c r="B226" s="4">
        <v>710129</v>
      </c>
      <c r="C226" s="7" t="s">
        <v>332</v>
      </c>
      <c r="D226" s="5">
        <v>1096796956</v>
      </c>
      <c r="E226" s="11" t="s">
        <v>362</v>
      </c>
      <c r="F226" s="8" t="s">
        <v>393</v>
      </c>
      <c r="G226" s="71"/>
      <c r="H226" s="8" t="s">
        <v>45</v>
      </c>
      <c r="I226" s="21" t="s">
        <v>381</v>
      </c>
      <c r="J226" s="9" t="s">
        <v>382</v>
      </c>
      <c r="K226" s="31"/>
    </row>
    <row r="227" spans="1:11" s="2" customFormat="1" ht="19.899999999999999" customHeight="1" x14ac:dyDescent="0.25">
      <c r="A227" s="3">
        <f t="shared" si="4"/>
        <v>225</v>
      </c>
      <c r="B227" s="4">
        <v>710130</v>
      </c>
      <c r="C227" s="7" t="s">
        <v>333</v>
      </c>
      <c r="D227" s="5">
        <v>1098520594</v>
      </c>
      <c r="E227" s="11" t="s">
        <v>363</v>
      </c>
      <c r="F227" s="8" t="s">
        <v>393</v>
      </c>
      <c r="G227" s="71"/>
      <c r="H227" s="8" t="s">
        <v>45</v>
      </c>
      <c r="I227" s="21" t="s">
        <v>381</v>
      </c>
      <c r="J227" s="9" t="s">
        <v>382</v>
      </c>
      <c r="K227" s="31"/>
    </row>
    <row r="228" spans="1:11" s="2" customFormat="1" ht="19.899999999999999" customHeight="1" x14ac:dyDescent="0.25">
      <c r="A228" s="3">
        <f t="shared" si="4"/>
        <v>226</v>
      </c>
      <c r="B228" s="4">
        <v>710131</v>
      </c>
      <c r="C228" s="7" t="s">
        <v>334</v>
      </c>
      <c r="D228" s="5">
        <v>1092932985</v>
      </c>
      <c r="E228" s="11" t="s">
        <v>364</v>
      </c>
      <c r="F228" s="8" t="s">
        <v>393</v>
      </c>
      <c r="G228" s="71"/>
      <c r="H228" s="8" t="s">
        <v>45</v>
      </c>
      <c r="I228" s="21" t="s">
        <v>381</v>
      </c>
      <c r="J228" s="9" t="s">
        <v>382</v>
      </c>
      <c r="K228" s="31"/>
    </row>
    <row r="229" spans="1:11" s="2" customFormat="1" ht="19.899999999999999" customHeight="1" x14ac:dyDescent="0.25">
      <c r="A229" s="3">
        <f t="shared" si="4"/>
        <v>227</v>
      </c>
      <c r="B229" s="4">
        <v>710132</v>
      </c>
      <c r="C229" s="7" t="s">
        <v>335</v>
      </c>
      <c r="D229" s="5">
        <v>1036074753</v>
      </c>
      <c r="E229" s="11" t="s">
        <v>361</v>
      </c>
      <c r="F229" s="8" t="s">
        <v>393</v>
      </c>
      <c r="G229" s="71"/>
      <c r="H229" s="8" t="s">
        <v>45</v>
      </c>
      <c r="I229" s="21" t="s">
        <v>381</v>
      </c>
      <c r="J229" s="9" t="s">
        <v>382</v>
      </c>
      <c r="K229" s="31"/>
    </row>
    <row r="230" spans="1:11" s="2" customFormat="1" ht="19.899999999999999" customHeight="1" x14ac:dyDescent="0.25">
      <c r="A230" s="3">
        <f t="shared" si="4"/>
        <v>228</v>
      </c>
      <c r="B230" s="4">
        <v>710133</v>
      </c>
      <c r="C230" s="7" t="s">
        <v>336</v>
      </c>
      <c r="D230" s="5">
        <v>1136589445</v>
      </c>
      <c r="E230" s="11" t="s">
        <v>365</v>
      </c>
      <c r="F230" s="8" t="s">
        <v>393</v>
      </c>
      <c r="G230" s="71"/>
      <c r="H230" s="8" t="s">
        <v>45</v>
      </c>
      <c r="I230" s="21" t="s">
        <v>381</v>
      </c>
      <c r="J230" s="9" t="s">
        <v>382</v>
      </c>
      <c r="K230" s="31"/>
    </row>
    <row r="231" spans="1:11" s="2" customFormat="1" ht="19.899999999999999" customHeight="1" x14ac:dyDescent="0.25">
      <c r="A231" s="3">
        <f t="shared" si="4"/>
        <v>229</v>
      </c>
      <c r="B231" s="4">
        <v>710134</v>
      </c>
      <c r="C231" s="7" t="s">
        <v>337</v>
      </c>
      <c r="D231" s="5">
        <v>1004025084</v>
      </c>
      <c r="E231" s="11" t="s">
        <v>366</v>
      </c>
      <c r="F231" s="8" t="s">
        <v>393</v>
      </c>
      <c r="G231" s="71"/>
      <c r="H231" s="8" t="s">
        <v>45</v>
      </c>
      <c r="I231" s="21" t="s">
        <v>381</v>
      </c>
      <c r="J231" s="9" t="s">
        <v>382</v>
      </c>
      <c r="K231" s="31"/>
    </row>
    <row r="232" spans="1:11" s="2" customFormat="1" ht="19.899999999999999" customHeight="1" x14ac:dyDescent="0.25">
      <c r="A232" s="3">
        <f t="shared" si="4"/>
        <v>230</v>
      </c>
      <c r="B232" s="4">
        <v>710135</v>
      </c>
      <c r="C232" s="7" t="s">
        <v>338</v>
      </c>
      <c r="D232" s="5">
        <v>1130764325</v>
      </c>
      <c r="E232" s="11" t="s">
        <v>361</v>
      </c>
      <c r="F232" s="8" t="s">
        <v>393</v>
      </c>
      <c r="G232" s="71"/>
      <c r="H232" s="8" t="s">
        <v>45</v>
      </c>
      <c r="I232" s="21" t="s">
        <v>381</v>
      </c>
      <c r="J232" s="9" t="s">
        <v>382</v>
      </c>
      <c r="K232" s="31"/>
    </row>
    <row r="233" spans="1:11" s="2" customFormat="1" ht="19.899999999999999" customHeight="1" x14ac:dyDescent="0.25">
      <c r="A233" s="3">
        <f t="shared" si="4"/>
        <v>231</v>
      </c>
      <c r="B233" s="4">
        <v>710136</v>
      </c>
      <c r="C233" s="7" t="s">
        <v>339</v>
      </c>
      <c r="D233" s="5">
        <v>1064027244</v>
      </c>
      <c r="E233" s="11" t="s">
        <v>367</v>
      </c>
      <c r="F233" s="8" t="s">
        <v>393</v>
      </c>
      <c r="G233" s="71"/>
      <c r="H233" s="8" t="s">
        <v>45</v>
      </c>
      <c r="I233" s="21" t="s">
        <v>381</v>
      </c>
      <c r="J233" s="9" t="s">
        <v>382</v>
      </c>
      <c r="K233" s="31"/>
    </row>
    <row r="234" spans="1:11" s="2" customFormat="1" ht="19.899999999999999" customHeight="1" x14ac:dyDescent="0.25">
      <c r="A234" s="3">
        <f t="shared" si="4"/>
        <v>232</v>
      </c>
      <c r="B234" s="4">
        <v>710137</v>
      </c>
      <c r="C234" s="7" t="s">
        <v>340</v>
      </c>
      <c r="D234" s="5">
        <v>1135961256</v>
      </c>
      <c r="E234" s="11" t="s">
        <v>380</v>
      </c>
      <c r="F234" s="8" t="s">
        <v>393</v>
      </c>
      <c r="G234" s="71"/>
      <c r="H234" s="8" t="s">
        <v>45</v>
      </c>
      <c r="I234" s="21" t="s">
        <v>381</v>
      </c>
      <c r="J234" s="9" t="s">
        <v>382</v>
      </c>
      <c r="K234" s="31"/>
    </row>
    <row r="235" spans="1:11" s="2" customFormat="1" ht="19.899999999999999" customHeight="1" x14ac:dyDescent="0.25">
      <c r="A235" s="3">
        <f t="shared" si="4"/>
        <v>233</v>
      </c>
      <c r="B235" s="4">
        <v>710138</v>
      </c>
      <c r="C235" s="7" t="s">
        <v>341</v>
      </c>
      <c r="D235" s="5">
        <v>1082702919</v>
      </c>
      <c r="E235" s="11" t="s">
        <v>364</v>
      </c>
      <c r="F235" s="8" t="s">
        <v>393</v>
      </c>
      <c r="G235" s="71"/>
      <c r="H235" s="8" t="s">
        <v>45</v>
      </c>
      <c r="I235" s="21" t="s">
        <v>381</v>
      </c>
      <c r="J235" s="9" t="s">
        <v>382</v>
      </c>
      <c r="K235" s="31"/>
    </row>
    <row r="236" spans="1:11" s="2" customFormat="1" ht="19.899999999999999" customHeight="1" x14ac:dyDescent="0.25">
      <c r="A236" s="3">
        <f t="shared" si="4"/>
        <v>234</v>
      </c>
      <c r="B236" s="4">
        <v>710139</v>
      </c>
      <c r="C236" s="7" t="s">
        <v>342</v>
      </c>
      <c r="D236" s="5">
        <v>1051071239</v>
      </c>
      <c r="E236" s="11" t="s">
        <v>365</v>
      </c>
      <c r="F236" s="8" t="s">
        <v>393</v>
      </c>
      <c r="G236" s="71"/>
      <c r="H236" s="8" t="s">
        <v>45</v>
      </c>
      <c r="I236" s="21" t="s">
        <v>381</v>
      </c>
      <c r="J236" s="9" t="s">
        <v>382</v>
      </c>
      <c r="K236" s="31"/>
    </row>
    <row r="237" spans="1:11" s="2" customFormat="1" ht="19.899999999999999" customHeight="1" x14ac:dyDescent="0.25">
      <c r="A237" s="3">
        <f t="shared" si="4"/>
        <v>235</v>
      </c>
      <c r="B237" s="4">
        <v>710140</v>
      </c>
      <c r="C237" s="7" t="s">
        <v>343</v>
      </c>
      <c r="D237" s="5">
        <v>1124015684</v>
      </c>
      <c r="E237" s="11" t="s">
        <v>368</v>
      </c>
      <c r="F237" s="8" t="s">
        <v>393</v>
      </c>
      <c r="G237" s="71"/>
      <c r="H237" s="8" t="s">
        <v>45</v>
      </c>
      <c r="I237" s="21" t="s">
        <v>381</v>
      </c>
      <c r="J237" s="9" t="s">
        <v>382</v>
      </c>
      <c r="K237" s="31"/>
    </row>
    <row r="238" spans="1:11" s="2" customFormat="1" ht="19.899999999999999" customHeight="1" x14ac:dyDescent="0.25">
      <c r="A238" s="3">
        <f t="shared" si="4"/>
        <v>236</v>
      </c>
      <c r="B238" s="4">
        <v>710141</v>
      </c>
      <c r="C238" s="7" t="s">
        <v>344</v>
      </c>
      <c r="D238" s="5">
        <v>1107859405</v>
      </c>
      <c r="E238" s="11" t="s">
        <v>369</v>
      </c>
      <c r="F238" s="8" t="s">
        <v>393</v>
      </c>
      <c r="G238" s="71"/>
      <c r="H238" s="8" t="s">
        <v>45</v>
      </c>
      <c r="I238" s="21" t="s">
        <v>381</v>
      </c>
      <c r="J238" s="9" t="s">
        <v>382</v>
      </c>
      <c r="K238" s="31"/>
    </row>
    <row r="239" spans="1:11" s="2" customFormat="1" ht="19.899999999999999" customHeight="1" x14ac:dyDescent="0.25">
      <c r="A239" s="3">
        <f t="shared" si="4"/>
        <v>237</v>
      </c>
      <c r="B239" s="4">
        <v>710142</v>
      </c>
      <c r="C239" s="7" t="s">
        <v>345</v>
      </c>
      <c r="D239" s="5">
        <v>1100352564</v>
      </c>
      <c r="E239" s="11" t="s">
        <v>370</v>
      </c>
      <c r="F239" s="8" t="s">
        <v>393</v>
      </c>
      <c r="G239" s="71"/>
      <c r="H239" s="8" t="s">
        <v>45</v>
      </c>
      <c r="I239" s="21" t="s">
        <v>381</v>
      </c>
      <c r="J239" s="9" t="s">
        <v>382</v>
      </c>
      <c r="K239" s="31"/>
    </row>
    <row r="240" spans="1:11" s="2" customFormat="1" ht="19.899999999999999" customHeight="1" x14ac:dyDescent="0.25">
      <c r="A240" s="3">
        <f t="shared" si="4"/>
        <v>238</v>
      </c>
      <c r="B240" s="4">
        <v>710143</v>
      </c>
      <c r="C240" s="7" t="s">
        <v>346</v>
      </c>
      <c r="D240" s="5">
        <v>1140990332</v>
      </c>
      <c r="E240" s="11" t="s">
        <v>371</v>
      </c>
      <c r="F240" s="8" t="s">
        <v>393</v>
      </c>
      <c r="G240" s="71"/>
      <c r="H240" s="8" t="s">
        <v>45</v>
      </c>
      <c r="I240" s="21" t="s">
        <v>381</v>
      </c>
      <c r="J240" s="9" t="s">
        <v>382</v>
      </c>
      <c r="K240" s="31"/>
    </row>
    <row r="241" spans="1:11" s="2" customFormat="1" ht="19.899999999999999" customHeight="1" x14ac:dyDescent="0.25">
      <c r="A241" s="3">
        <f t="shared" si="4"/>
        <v>239</v>
      </c>
      <c r="B241" s="4">
        <v>710144</v>
      </c>
      <c r="C241" s="7" t="s">
        <v>347</v>
      </c>
      <c r="D241" s="5">
        <v>1131843029</v>
      </c>
      <c r="E241" s="11" t="s">
        <v>369</v>
      </c>
      <c r="F241" s="8" t="s">
        <v>393</v>
      </c>
      <c r="G241" s="71"/>
      <c r="H241" s="8" t="s">
        <v>45</v>
      </c>
      <c r="I241" s="21" t="s">
        <v>381</v>
      </c>
      <c r="J241" s="9" t="s">
        <v>382</v>
      </c>
      <c r="K241" s="31"/>
    </row>
    <row r="242" spans="1:11" s="2" customFormat="1" ht="19.899999999999999" customHeight="1" x14ac:dyDescent="0.25">
      <c r="A242" s="3">
        <f t="shared" si="4"/>
        <v>240</v>
      </c>
      <c r="B242" s="4">
        <v>710145</v>
      </c>
      <c r="C242" s="7" t="s">
        <v>348</v>
      </c>
      <c r="D242" s="5">
        <v>1125580108</v>
      </c>
      <c r="E242" s="11" t="s">
        <v>372</v>
      </c>
      <c r="F242" s="8" t="s">
        <v>393</v>
      </c>
      <c r="G242" s="71"/>
      <c r="H242" s="8" t="s">
        <v>45</v>
      </c>
      <c r="I242" s="21" t="s">
        <v>381</v>
      </c>
      <c r="J242" s="9" t="s">
        <v>382</v>
      </c>
      <c r="K242" s="31"/>
    </row>
    <row r="243" spans="1:11" s="2" customFormat="1" ht="19.899999999999999" customHeight="1" x14ac:dyDescent="0.25">
      <c r="A243" s="3">
        <f t="shared" si="4"/>
        <v>241</v>
      </c>
      <c r="B243" s="4">
        <v>710146</v>
      </c>
      <c r="C243" s="7" t="s">
        <v>349</v>
      </c>
      <c r="D243" s="5">
        <v>1123462572</v>
      </c>
      <c r="E243" s="11" t="s">
        <v>373</v>
      </c>
      <c r="F243" s="8" t="s">
        <v>393</v>
      </c>
      <c r="G243" s="71"/>
      <c r="H243" s="8" t="s">
        <v>45</v>
      </c>
      <c r="I243" s="21" t="s">
        <v>381</v>
      </c>
      <c r="J243" s="9" t="s">
        <v>382</v>
      </c>
      <c r="K243" s="31"/>
    </row>
    <row r="244" spans="1:11" s="2" customFormat="1" ht="19.899999999999999" customHeight="1" x14ac:dyDescent="0.25">
      <c r="A244" s="3">
        <f t="shared" si="4"/>
        <v>242</v>
      </c>
      <c r="B244" s="4">
        <v>710147</v>
      </c>
      <c r="C244" s="7" t="s">
        <v>350</v>
      </c>
      <c r="D244" s="5">
        <v>1123048629</v>
      </c>
      <c r="E244" s="11" t="s">
        <v>374</v>
      </c>
      <c r="F244" s="8" t="s">
        <v>393</v>
      </c>
      <c r="G244" s="71"/>
      <c r="H244" s="8" t="s">
        <v>45</v>
      </c>
      <c r="I244" s="21" t="s">
        <v>381</v>
      </c>
      <c r="J244" s="9" t="s">
        <v>382</v>
      </c>
      <c r="K244" s="31"/>
    </row>
    <row r="245" spans="1:11" s="2" customFormat="1" ht="19.899999999999999" customHeight="1" x14ac:dyDescent="0.25">
      <c r="A245" s="3">
        <f t="shared" si="4"/>
        <v>243</v>
      </c>
      <c r="B245" s="4">
        <v>710148</v>
      </c>
      <c r="C245" s="7" t="s">
        <v>351</v>
      </c>
      <c r="D245" s="5">
        <v>1008623827</v>
      </c>
      <c r="E245" s="11" t="s">
        <v>375</v>
      </c>
      <c r="F245" s="8" t="s">
        <v>393</v>
      </c>
      <c r="G245" s="71"/>
      <c r="H245" s="8" t="s">
        <v>45</v>
      </c>
      <c r="I245" s="21" t="s">
        <v>381</v>
      </c>
      <c r="J245" s="9" t="s">
        <v>382</v>
      </c>
      <c r="K245" s="31"/>
    </row>
    <row r="246" spans="1:11" s="2" customFormat="1" ht="19.899999999999999" customHeight="1" x14ac:dyDescent="0.25">
      <c r="A246" s="3">
        <f t="shared" si="4"/>
        <v>244</v>
      </c>
      <c r="B246" s="4">
        <v>710149</v>
      </c>
      <c r="C246" s="7" t="s">
        <v>352</v>
      </c>
      <c r="D246" s="5">
        <v>1006771776</v>
      </c>
      <c r="E246" s="11" t="s">
        <v>376</v>
      </c>
      <c r="F246" s="8" t="s">
        <v>393</v>
      </c>
      <c r="G246" s="71"/>
      <c r="H246" s="8" t="s">
        <v>45</v>
      </c>
      <c r="I246" s="21" t="s">
        <v>381</v>
      </c>
      <c r="J246" s="9" t="s">
        <v>382</v>
      </c>
      <c r="K246" s="31"/>
    </row>
    <row r="247" spans="1:11" s="2" customFormat="1" ht="19.899999999999999" customHeight="1" x14ac:dyDescent="0.25">
      <c r="A247" s="3">
        <f t="shared" si="4"/>
        <v>245</v>
      </c>
      <c r="B247" s="4">
        <v>710150</v>
      </c>
      <c r="C247" s="7" t="s">
        <v>353</v>
      </c>
      <c r="D247" s="5">
        <v>1012170385</v>
      </c>
      <c r="E247" s="11" t="s">
        <v>377</v>
      </c>
      <c r="F247" s="8" t="s">
        <v>393</v>
      </c>
      <c r="G247" s="71"/>
      <c r="H247" s="8" t="s">
        <v>45</v>
      </c>
      <c r="I247" s="21" t="s">
        <v>381</v>
      </c>
      <c r="J247" s="9" t="s">
        <v>382</v>
      </c>
      <c r="K247" s="31"/>
    </row>
    <row r="248" spans="1:11" s="2" customFormat="1" ht="19.899999999999999" customHeight="1" x14ac:dyDescent="0.25">
      <c r="A248" s="3">
        <f t="shared" si="4"/>
        <v>246</v>
      </c>
      <c r="B248" s="4">
        <v>710151</v>
      </c>
      <c r="C248" s="7" t="s">
        <v>354</v>
      </c>
      <c r="D248" s="5">
        <v>1149815415</v>
      </c>
      <c r="E248" s="11" t="s">
        <v>378</v>
      </c>
      <c r="F248" s="8" t="s">
        <v>393</v>
      </c>
      <c r="G248" s="71"/>
      <c r="H248" s="8" t="s">
        <v>45</v>
      </c>
      <c r="I248" s="21" t="s">
        <v>381</v>
      </c>
      <c r="J248" s="9" t="s">
        <v>382</v>
      </c>
      <c r="K248" s="31"/>
    </row>
    <row r="249" spans="1:11" s="2" customFormat="1" ht="19.899999999999999" customHeight="1" x14ac:dyDescent="0.25">
      <c r="A249" s="3">
        <f t="shared" si="4"/>
        <v>247</v>
      </c>
      <c r="B249" s="4">
        <v>710152</v>
      </c>
      <c r="C249" s="7" t="s">
        <v>355</v>
      </c>
      <c r="D249" s="5">
        <v>1134566122</v>
      </c>
      <c r="E249" s="11" t="s">
        <v>379</v>
      </c>
      <c r="F249" s="8" t="s">
        <v>393</v>
      </c>
      <c r="G249" s="71"/>
      <c r="H249" s="8" t="s">
        <v>45</v>
      </c>
      <c r="I249" s="21" t="s">
        <v>381</v>
      </c>
      <c r="J249" s="9" t="s">
        <v>382</v>
      </c>
      <c r="K249" s="31"/>
    </row>
    <row r="250" spans="1:11" s="2" customFormat="1" ht="19.899999999999999" customHeight="1" x14ac:dyDescent="0.25">
      <c r="A250" s="3">
        <f t="shared" si="4"/>
        <v>248</v>
      </c>
      <c r="B250" s="4">
        <v>710153</v>
      </c>
      <c r="C250" s="7" t="s">
        <v>356</v>
      </c>
      <c r="D250" s="5">
        <v>1108484815</v>
      </c>
      <c r="E250" s="11" t="s">
        <v>365</v>
      </c>
      <c r="F250" s="8" t="s">
        <v>393</v>
      </c>
      <c r="G250" s="71"/>
      <c r="H250" s="8" t="s">
        <v>45</v>
      </c>
      <c r="I250" s="21" t="s">
        <v>381</v>
      </c>
      <c r="J250" s="9" t="s">
        <v>382</v>
      </c>
      <c r="K250" s="31"/>
    </row>
    <row r="251" spans="1:11" s="2" customFormat="1" ht="19.899999999999999" customHeight="1" x14ac:dyDescent="0.25">
      <c r="A251" s="3">
        <f t="shared" si="4"/>
        <v>249</v>
      </c>
      <c r="B251" s="4">
        <v>710155</v>
      </c>
      <c r="C251" s="7" t="s">
        <v>384</v>
      </c>
      <c r="D251" s="5">
        <v>1132565399</v>
      </c>
      <c r="E251" s="11" t="s">
        <v>47</v>
      </c>
      <c r="F251" s="8" t="s">
        <v>393</v>
      </c>
      <c r="G251" s="71"/>
      <c r="H251" s="8" t="s">
        <v>45</v>
      </c>
      <c r="I251" s="21" t="s">
        <v>381</v>
      </c>
      <c r="J251" s="9" t="s">
        <v>382</v>
      </c>
      <c r="K251" s="31"/>
    </row>
    <row r="252" spans="1:11" s="2" customFormat="1" ht="19.899999999999999" customHeight="1" x14ac:dyDescent="0.25">
      <c r="A252" s="3">
        <f t="shared" si="4"/>
        <v>250</v>
      </c>
      <c r="B252" s="4">
        <v>710156</v>
      </c>
      <c r="C252" s="7" t="s">
        <v>385</v>
      </c>
      <c r="D252" s="5">
        <v>1034027191</v>
      </c>
      <c r="E252" s="11" t="s">
        <v>242</v>
      </c>
      <c r="F252" s="8" t="s">
        <v>393</v>
      </c>
      <c r="G252" s="71"/>
      <c r="H252" s="8" t="s">
        <v>45</v>
      </c>
      <c r="I252" s="21" t="s">
        <v>381</v>
      </c>
      <c r="J252" s="9" t="s">
        <v>382</v>
      </c>
      <c r="K252" s="31"/>
    </row>
    <row r="253" spans="1:11" s="2" customFormat="1" ht="19.899999999999999" customHeight="1" x14ac:dyDescent="0.25">
      <c r="A253" s="3">
        <f t="shared" si="4"/>
        <v>251</v>
      </c>
      <c r="B253" s="4">
        <v>710158</v>
      </c>
      <c r="C253" s="7" t="s">
        <v>430</v>
      </c>
      <c r="D253" s="5">
        <v>1105420176</v>
      </c>
      <c r="E253" s="11" t="s">
        <v>386</v>
      </c>
      <c r="F253" s="8" t="s">
        <v>393</v>
      </c>
      <c r="G253" s="71"/>
      <c r="H253" s="8" t="s">
        <v>45</v>
      </c>
      <c r="I253" s="21" t="s">
        <v>381</v>
      </c>
      <c r="J253" s="9" t="s">
        <v>382</v>
      </c>
      <c r="K253" s="31"/>
    </row>
    <row r="254" spans="1:11" s="2" customFormat="1" ht="19.899999999999999" customHeight="1" x14ac:dyDescent="0.25">
      <c r="A254" s="3">
        <f t="shared" si="4"/>
        <v>252</v>
      </c>
      <c r="B254" s="4">
        <v>710159</v>
      </c>
      <c r="C254" s="7" t="s">
        <v>440</v>
      </c>
      <c r="D254" s="5">
        <v>1077316915</v>
      </c>
      <c r="E254" s="11" t="s">
        <v>78</v>
      </c>
      <c r="F254" s="8" t="s">
        <v>393</v>
      </c>
      <c r="G254" s="71"/>
      <c r="H254" s="8" t="s">
        <v>45</v>
      </c>
      <c r="I254" s="21" t="s">
        <v>381</v>
      </c>
      <c r="J254" s="9" t="s">
        <v>382</v>
      </c>
      <c r="K254" s="31"/>
    </row>
    <row r="255" spans="1:11" s="2" customFormat="1" ht="19.899999999999999" customHeight="1" x14ac:dyDescent="0.25">
      <c r="A255" s="3">
        <f t="shared" si="4"/>
        <v>253</v>
      </c>
      <c r="B255" s="4">
        <v>710160</v>
      </c>
      <c r="C255" s="7" t="s">
        <v>445</v>
      </c>
      <c r="D255" s="5">
        <v>1109425460</v>
      </c>
      <c r="E255" s="11" t="s">
        <v>258</v>
      </c>
      <c r="F255" s="8" t="s">
        <v>393</v>
      </c>
      <c r="G255" s="71"/>
      <c r="H255" s="8" t="s">
        <v>45</v>
      </c>
      <c r="I255" s="21" t="s">
        <v>12</v>
      </c>
      <c r="J255" s="9" t="s">
        <v>382</v>
      </c>
      <c r="K255" s="31"/>
    </row>
    <row r="256" spans="1:11" s="2" customFormat="1" ht="19.899999999999999" customHeight="1" x14ac:dyDescent="0.25">
      <c r="A256" s="3">
        <f t="shared" si="4"/>
        <v>254</v>
      </c>
      <c r="B256" s="4">
        <v>710161</v>
      </c>
      <c r="C256" s="7" t="s">
        <v>446</v>
      </c>
      <c r="D256" s="5">
        <v>1024989525</v>
      </c>
      <c r="E256" s="11" t="s">
        <v>63</v>
      </c>
      <c r="F256" s="8" t="s">
        <v>393</v>
      </c>
      <c r="G256" s="71"/>
      <c r="H256" s="8" t="s">
        <v>45</v>
      </c>
      <c r="I256" s="21" t="s">
        <v>12</v>
      </c>
      <c r="J256" s="9" t="s">
        <v>382</v>
      </c>
      <c r="K256" s="31"/>
    </row>
    <row r="257" spans="1:11" s="2" customFormat="1" ht="19.899999999999999" customHeight="1" x14ac:dyDescent="0.25">
      <c r="A257" s="3">
        <f t="shared" si="4"/>
        <v>255</v>
      </c>
      <c r="B257" s="4">
        <v>710162</v>
      </c>
      <c r="C257" s="7" t="s">
        <v>447</v>
      </c>
      <c r="D257" s="5">
        <v>1090616671</v>
      </c>
      <c r="E257" s="11" t="s">
        <v>450</v>
      </c>
      <c r="F257" s="8" t="s">
        <v>393</v>
      </c>
      <c r="G257" s="71"/>
      <c r="H257" s="8" t="s">
        <v>45</v>
      </c>
      <c r="I257" s="21" t="s">
        <v>12</v>
      </c>
      <c r="J257" s="9" t="s">
        <v>382</v>
      </c>
      <c r="K257" s="31"/>
    </row>
    <row r="258" spans="1:11" s="2" customFormat="1" ht="19.899999999999999" customHeight="1" x14ac:dyDescent="0.25">
      <c r="A258" s="3">
        <f t="shared" si="4"/>
        <v>256</v>
      </c>
      <c r="B258" s="4">
        <v>710163</v>
      </c>
      <c r="C258" s="7" t="s">
        <v>448</v>
      </c>
      <c r="D258" s="5">
        <v>1022288151</v>
      </c>
      <c r="E258" s="11" t="s">
        <v>451</v>
      </c>
      <c r="F258" s="8" t="s">
        <v>393</v>
      </c>
      <c r="G258" s="71"/>
      <c r="H258" s="8" t="s">
        <v>45</v>
      </c>
      <c r="I258" s="21" t="s">
        <v>12</v>
      </c>
      <c r="J258" s="9" t="s">
        <v>382</v>
      </c>
      <c r="K258" s="31"/>
    </row>
    <row r="259" spans="1:11" s="2" customFormat="1" ht="19.899999999999999" customHeight="1" x14ac:dyDescent="0.25">
      <c r="A259" s="3">
        <f t="shared" si="4"/>
        <v>257</v>
      </c>
      <c r="B259" s="4">
        <v>710164</v>
      </c>
      <c r="C259" s="7" t="s">
        <v>449</v>
      </c>
      <c r="D259" s="5">
        <v>1144488374</v>
      </c>
      <c r="E259" s="11" t="s">
        <v>452</v>
      </c>
      <c r="F259" s="8" t="s">
        <v>393</v>
      </c>
      <c r="G259" s="71"/>
      <c r="H259" s="8" t="s">
        <v>45</v>
      </c>
      <c r="I259" s="21" t="s">
        <v>12</v>
      </c>
      <c r="J259" s="9" t="s">
        <v>382</v>
      </c>
      <c r="K259" s="31"/>
    </row>
    <row r="260" spans="1:11" s="2" customFormat="1" ht="19.899999999999999" customHeight="1" x14ac:dyDescent="0.25">
      <c r="A260" s="3">
        <f t="shared" si="4"/>
        <v>258</v>
      </c>
      <c r="B260" s="4">
        <v>710165</v>
      </c>
      <c r="C260" s="7" t="s">
        <v>465</v>
      </c>
      <c r="D260" s="5">
        <v>1004025100</v>
      </c>
      <c r="E260" s="11" t="s">
        <v>468</v>
      </c>
      <c r="F260" s="8" t="s">
        <v>393</v>
      </c>
      <c r="G260" s="71"/>
      <c r="H260" s="8" t="s">
        <v>45</v>
      </c>
      <c r="I260" s="21" t="s">
        <v>12</v>
      </c>
      <c r="J260" s="9" t="s">
        <v>382</v>
      </c>
      <c r="K260" s="31"/>
    </row>
    <row r="261" spans="1:11" s="2" customFormat="1" ht="19.899999999999999" customHeight="1" x14ac:dyDescent="0.25">
      <c r="A261" s="3">
        <f t="shared" si="4"/>
        <v>259</v>
      </c>
      <c r="B261" s="4">
        <v>710166</v>
      </c>
      <c r="C261" s="7" t="s">
        <v>466</v>
      </c>
      <c r="D261" s="5">
        <v>1141455053</v>
      </c>
      <c r="E261" s="11" t="s">
        <v>469</v>
      </c>
      <c r="F261" s="8" t="s">
        <v>393</v>
      </c>
      <c r="G261" s="71"/>
      <c r="H261" s="8" t="s">
        <v>45</v>
      </c>
      <c r="I261" s="21" t="s">
        <v>12</v>
      </c>
      <c r="J261" s="9" t="s">
        <v>382</v>
      </c>
      <c r="K261" s="31"/>
    </row>
    <row r="262" spans="1:11" s="2" customFormat="1" ht="19.899999999999999" customHeight="1" x14ac:dyDescent="0.25">
      <c r="A262" s="3">
        <f t="shared" si="4"/>
        <v>260</v>
      </c>
      <c r="B262" s="4">
        <v>710167</v>
      </c>
      <c r="C262" s="7" t="s">
        <v>467</v>
      </c>
      <c r="D262" s="5">
        <v>1032990069</v>
      </c>
      <c r="E262" s="11" t="s">
        <v>357</v>
      </c>
      <c r="F262" s="8" t="s">
        <v>393</v>
      </c>
      <c r="G262" s="71"/>
      <c r="H262" s="8" t="s">
        <v>45</v>
      </c>
      <c r="I262" s="21" t="s">
        <v>12</v>
      </c>
      <c r="J262" s="9" t="s">
        <v>382</v>
      </c>
      <c r="K262" s="31"/>
    </row>
    <row r="263" spans="1:11" ht="21" customHeight="1" thickBot="1" x14ac:dyDescent="0.3">
      <c r="A263" s="25"/>
      <c r="B263" s="25"/>
      <c r="C263" s="26"/>
      <c r="D263" s="26"/>
      <c r="E263" s="25"/>
      <c r="F263" s="25"/>
      <c r="G263" s="74"/>
      <c r="H263" s="25"/>
      <c r="I263" s="25"/>
      <c r="J263" s="25"/>
      <c r="K263" s="33"/>
    </row>
    <row r="264" spans="1:11" ht="33" customHeight="1" x14ac:dyDescent="0.25">
      <c r="A264" s="25"/>
      <c r="B264" s="25"/>
      <c r="C264" s="97" t="s">
        <v>425</v>
      </c>
      <c r="D264" s="98"/>
      <c r="E264" s="25"/>
      <c r="F264" s="99" t="s">
        <v>428</v>
      </c>
      <c r="G264" s="100"/>
      <c r="H264" s="101"/>
      <c r="I264" s="25"/>
      <c r="J264" s="105" t="s">
        <v>429</v>
      </c>
      <c r="K264" s="105"/>
    </row>
    <row r="265" spans="1:11" ht="15.75" x14ac:dyDescent="0.25">
      <c r="A265" s="25"/>
      <c r="B265" s="25"/>
      <c r="C265" s="46" t="s">
        <v>432</v>
      </c>
      <c r="D265" s="78">
        <f>COUNTIFS(F4:F263,"PMTA",J4:J263,"BOOKED")</f>
        <v>28</v>
      </c>
      <c r="E265" s="74"/>
      <c r="F265" s="110" t="s">
        <v>319</v>
      </c>
      <c r="G265" s="106"/>
      <c r="H265" s="78">
        <f>COUNTIFS(F3:F253, "MFU",  J3:J253,  "MANUFACTURING  OFFICE")</f>
        <v>6</v>
      </c>
      <c r="I265" s="34"/>
      <c r="J265" s="8" t="s">
        <v>382</v>
      </c>
      <c r="K265" s="83">
        <f>COUNTIF(J3:J262,J265)</f>
        <v>71</v>
      </c>
    </row>
    <row r="266" spans="1:11" ht="15.75" x14ac:dyDescent="0.25">
      <c r="A266" s="25"/>
      <c r="B266" s="25"/>
      <c r="C266" s="46" t="s">
        <v>426</v>
      </c>
      <c r="D266" s="78">
        <f>COUNTIFS(F3:F264,"PMTA",J3:J264,"ELITEX/RASTANURA")</f>
        <v>5</v>
      </c>
      <c r="E266" s="74"/>
      <c r="F266" s="85" t="s">
        <v>318</v>
      </c>
      <c r="G266" s="7"/>
      <c r="H266" s="78">
        <f>COUNTIFS(F4:F263, "MFU",  J4:J263,  "SEYANA YARD OFFICE")</f>
        <v>1</v>
      </c>
      <c r="I266" s="34"/>
    </row>
    <row r="267" spans="1:11" ht="15.75" x14ac:dyDescent="0.25">
      <c r="A267" s="25"/>
      <c r="B267" s="25"/>
      <c r="C267" s="46" t="s">
        <v>409</v>
      </c>
      <c r="D267" s="78">
        <f>COUNTIFS(F3:F265,"PMTA",J3:J265,"ELITEX/JIZAN")</f>
        <v>1</v>
      </c>
      <c r="E267" s="74"/>
      <c r="F267" s="85" t="s">
        <v>283</v>
      </c>
      <c r="G267" s="7"/>
      <c r="H267" s="78">
        <f>COUNTIFS(F3:F253, "MFU",  J3:J253,  "SEYANA MANUFACTURING ")</f>
        <v>22</v>
      </c>
      <c r="I267" s="34"/>
    </row>
    <row r="268" spans="1:11" ht="15.75" x14ac:dyDescent="0.25">
      <c r="A268" s="25"/>
      <c r="B268" s="25"/>
      <c r="C268" s="46" t="s">
        <v>181</v>
      </c>
      <c r="D268" s="78">
        <f>COUNTIFS(F3:F253,"PMTA",J3:J253,"MAADEN (ALUMINUM)")</f>
        <v>23</v>
      </c>
      <c r="E268" s="74"/>
      <c r="F268" s="85" t="s">
        <v>471</v>
      </c>
      <c r="G268" s="7"/>
      <c r="H268" s="78">
        <f>COUNTIFS(F3:F262, "MFU",  J3:J262,  "SEYANA YARD")</f>
        <v>2</v>
      </c>
      <c r="I268" s="34"/>
    </row>
    <row r="269" spans="1:11" ht="16.5" thickBot="1" x14ac:dyDescent="0.3">
      <c r="A269" s="25"/>
      <c r="B269" s="25"/>
      <c r="C269" s="46" t="s">
        <v>475</v>
      </c>
      <c r="D269" s="78">
        <f>COUNTIFS(F4:F254,"PMTA",J4:J254,"MAADEN (ALUMINUM) BOOKED")</f>
        <v>4</v>
      </c>
      <c r="E269" s="74"/>
      <c r="F269" s="107" t="s">
        <v>139</v>
      </c>
      <c r="G269" s="108"/>
      <c r="H269" s="77">
        <f>SUBTOTAL(9,H265:H268)</f>
        <v>31</v>
      </c>
      <c r="I269" s="34"/>
    </row>
    <row r="270" spans="1:11" ht="16.5" thickBot="1" x14ac:dyDescent="0.3">
      <c r="A270" s="25"/>
      <c r="B270" s="25"/>
      <c r="C270" s="46" t="s">
        <v>325</v>
      </c>
      <c r="D270" s="78">
        <f>COUNTIFS(F3:F253,"PMTA",J3:J253,"MAADEN GOLD")</f>
        <v>2</v>
      </c>
      <c r="E270" s="74"/>
      <c r="I270" s="34"/>
    </row>
    <row r="271" spans="1:11" ht="27" thickBot="1" x14ac:dyDescent="0.45">
      <c r="A271" s="25"/>
      <c r="B271" s="25"/>
      <c r="C271" s="46" t="s">
        <v>413</v>
      </c>
      <c r="D271" s="78">
        <f>COUNTIFS(F3:F253,"PMTA",J3:J253,"KANOOZ/MADINAH")</f>
        <v>2</v>
      </c>
      <c r="E271" s="74"/>
      <c r="F271" s="27"/>
      <c r="G271" s="74"/>
      <c r="H271" s="25"/>
      <c r="I271" s="34"/>
      <c r="J271" s="82" t="s">
        <v>427</v>
      </c>
      <c r="K271" s="81">
        <f>K265+H279+H269+D278</f>
        <v>259</v>
      </c>
    </row>
    <row r="272" spans="1:11" ht="15.75" x14ac:dyDescent="0.25">
      <c r="A272" s="25"/>
      <c r="B272" s="25"/>
      <c r="C272" s="46" t="s">
        <v>391</v>
      </c>
      <c r="D272" s="78">
        <f>COUNTIFS(F3:F262,"PMTA",J3:J262,"MFU")</f>
        <v>4</v>
      </c>
      <c r="E272" s="74"/>
      <c r="F272" s="109"/>
      <c r="G272" s="109"/>
      <c r="H272" s="74"/>
      <c r="I272" s="34"/>
    </row>
    <row r="273" spans="1:11" ht="18.75" x14ac:dyDescent="0.25">
      <c r="A273" s="25"/>
      <c r="B273" s="25"/>
      <c r="C273" s="46" t="s">
        <v>414</v>
      </c>
      <c r="D273" s="78">
        <f>COUNTIFS(F3:F253,"PMTA",J3:J253,"SEYANA YARD")</f>
        <v>40</v>
      </c>
      <c r="E273" s="74"/>
      <c r="F273" s="102" t="s">
        <v>392</v>
      </c>
      <c r="G273" s="103"/>
      <c r="H273" s="103"/>
      <c r="I273" s="34"/>
    </row>
    <row r="274" spans="1:11" ht="15.75" x14ac:dyDescent="0.25">
      <c r="A274" s="25"/>
      <c r="B274" s="25"/>
      <c r="C274" s="46" t="s">
        <v>318</v>
      </c>
      <c r="D274" s="78">
        <f>COUNTIFS(F3:F253,"PMTA",J3:J253,"SEYANA YARD OFFICE")</f>
        <v>10</v>
      </c>
      <c r="E274" s="74"/>
      <c r="F274" s="106" t="s">
        <v>115</v>
      </c>
      <c r="G274" s="106"/>
      <c r="H274" s="79">
        <f>COUNTIFS(F3:F253, "CORP",  J3:J253,  "SEYANA YARD-SECURITY")</f>
        <v>2</v>
      </c>
      <c r="I274" s="34"/>
    </row>
    <row r="275" spans="1:11" ht="15.75" x14ac:dyDescent="0.25">
      <c r="A275" s="25"/>
      <c r="B275" s="25"/>
      <c r="C275" s="46" t="s">
        <v>444</v>
      </c>
      <c r="D275" s="78">
        <f>COUNTIFS(F4:F262,"PMTA",J4:J262,"ELITEX/MADINA")</f>
        <v>8</v>
      </c>
      <c r="E275" s="74"/>
      <c r="F275" s="106" t="s">
        <v>406</v>
      </c>
      <c r="G275" s="106"/>
      <c r="H275" s="79">
        <f>COUNTIFS(F3:F253, "CORP",  J3:J253,  "MANUFACTURING  SECURITY")</f>
        <v>2</v>
      </c>
      <c r="I275" s="34"/>
    </row>
    <row r="276" spans="1:11" ht="15.75" x14ac:dyDescent="0.25">
      <c r="A276" s="25"/>
      <c r="B276" s="25"/>
      <c r="C276" s="46" t="s">
        <v>476</v>
      </c>
      <c r="D276" s="78">
        <f>COUNTIFS(F5:F263,"PMTA",J5:J263,"KUNO (SIPCHEM) ")</f>
        <v>10</v>
      </c>
      <c r="E276" s="74"/>
      <c r="F276" s="106" t="s">
        <v>319</v>
      </c>
      <c r="G276" s="106"/>
      <c r="H276" s="79">
        <f>COUNTIFS(F3:F253, "CORP",  J3:J253,  "MANUFACTURING  OFFICE")</f>
        <v>7</v>
      </c>
      <c r="I276" s="34"/>
    </row>
    <row r="277" spans="1:11" ht="15.75" x14ac:dyDescent="0.25">
      <c r="A277" s="25"/>
      <c r="B277" s="25"/>
      <c r="C277" s="46" t="s">
        <v>137</v>
      </c>
      <c r="D277" s="78">
        <f>COUNTIFS(F3:F253,"PMTA",J3:J253,"VACATION")</f>
        <v>4</v>
      </c>
      <c r="E277" s="74"/>
      <c r="F277" s="106" t="s">
        <v>318</v>
      </c>
      <c r="G277" s="106"/>
      <c r="H277" s="79">
        <f>COUNTIFS(F4:F254, "CORP",  J4:J254,  "SEYANA YARD OFFICE")</f>
        <v>3</v>
      </c>
      <c r="I277" s="34"/>
    </row>
    <row r="278" spans="1:11" ht="16.5" thickBot="1" x14ac:dyDescent="0.3">
      <c r="A278" s="25"/>
      <c r="B278" s="25"/>
      <c r="C278" s="47" t="s">
        <v>139</v>
      </c>
      <c r="D278" s="48">
        <f>SUBTOTAL(9,D265:D277)</f>
        <v>141</v>
      </c>
      <c r="E278" s="74"/>
      <c r="F278" s="106" t="s">
        <v>414</v>
      </c>
      <c r="G278" s="106"/>
      <c r="H278" s="79">
        <f>COUNTIFS(F5:F255, "CORP",  J5:J255,  "SEYANA YARD")</f>
        <v>2</v>
      </c>
      <c r="I278" s="34"/>
    </row>
    <row r="279" spans="1:11" ht="15.75" x14ac:dyDescent="0.25">
      <c r="A279" s="25"/>
      <c r="B279" s="25"/>
      <c r="C279" s="27"/>
      <c r="D279" s="27"/>
      <c r="E279" s="74"/>
      <c r="F279" s="104" t="s">
        <v>427</v>
      </c>
      <c r="G279" s="104"/>
      <c r="H279" s="80">
        <f>SUBTOTAL(9,H274:H278)</f>
        <v>16</v>
      </c>
      <c r="I279" s="34"/>
    </row>
    <row r="280" spans="1:11" ht="15.75" x14ac:dyDescent="0.25">
      <c r="A280" s="25"/>
      <c r="B280" s="25"/>
      <c r="C280" s="27"/>
      <c r="D280" s="27"/>
      <c r="E280" s="74"/>
      <c r="F280" s="27"/>
      <c r="G280" s="74"/>
      <c r="H280" s="25"/>
      <c r="I280" s="34"/>
    </row>
    <row r="281" spans="1:11" ht="15.75" x14ac:dyDescent="0.25">
      <c r="A281" s="25"/>
      <c r="B281" s="25"/>
      <c r="E281" s="74"/>
      <c r="F281" s="76"/>
      <c r="I281" s="34"/>
    </row>
    <row r="282" spans="1:11" ht="15.75" x14ac:dyDescent="0.25">
      <c r="A282" s="25"/>
      <c r="B282" s="25"/>
      <c r="C282" s="27"/>
      <c r="D282" s="27"/>
      <c r="E282" s="25"/>
      <c r="F282" s="27"/>
      <c r="G282" s="74"/>
      <c r="H282" s="25"/>
      <c r="I282" s="25"/>
      <c r="J282" s="25"/>
      <c r="K282" s="34"/>
    </row>
  </sheetData>
  <autoFilter ref="A2:K262" xr:uid="{73C33E55-69D3-4D78-9CF0-C0B5E8916628}">
    <sortState xmlns:xlrd2="http://schemas.microsoft.com/office/spreadsheetml/2017/richdata2" ref="A3:K262">
      <sortCondition descending="1" ref="F3:F262"/>
    </sortState>
  </autoFilter>
  <sortState xmlns:xlrd2="http://schemas.microsoft.com/office/spreadsheetml/2017/richdata2" ref="A3:K253">
    <sortCondition descending="1" ref="F3:F253"/>
  </sortState>
  <mergeCells count="14">
    <mergeCell ref="A1:J1"/>
    <mergeCell ref="C264:D264"/>
    <mergeCell ref="F264:H264"/>
    <mergeCell ref="F273:H273"/>
    <mergeCell ref="F279:G279"/>
    <mergeCell ref="J264:K264"/>
    <mergeCell ref="F275:G275"/>
    <mergeCell ref="F276:G276"/>
    <mergeCell ref="F277:G277"/>
    <mergeCell ref="F269:G269"/>
    <mergeCell ref="F272:G272"/>
    <mergeCell ref="F274:G274"/>
    <mergeCell ref="F265:G265"/>
    <mergeCell ref="F278:G278"/>
  </mergeCells>
  <conditionalFormatting sqref="B1:B1048576">
    <cfRule type="duplicateValues" dxfId="40" priority="1546"/>
  </conditionalFormatting>
  <conditionalFormatting sqref="B1:C1048576">
    <cfRule type="duplicateValues" dxfId="39" priority="1"/>
    <cfRule type="duplicateValues" dxfId="38" priority="1540"/>
  </conditionalFormatting>
  <conditionalFormatting sqref="B138:C138">
    <cfRule type="duplicateValues" dxfId="37" priority="243"/>
    <cfRule type="duplicateValues" dxfId="36" priority="246"/>
    <cfRule type="duplicateValues" dxfId="35" priority="244"/>
  </conditionalFormatting>
  <conditionalFormatting sqref="B139:C147">
    <cfRule type="duplicateValues" dxfId="34" priority="922"/>
    <cfRule type="duplicateValues" dxfId="33" priority="921"/>
    <cfRule type="duplicateValues" dxfId="32" priority="920"/>
    <cfRule type="duplicateValues" dxfId="31" priority="919"/>
    <cfRule type="duplicateValues" dxfId="30" priority="923"/>
  </conditionalFormatting>
  <conditionalFormatting sqref="B283:C1048576">
    <cfRule type="duplicateValues" dxfId="29" priority="1577"/>
  </conditionalFormatting>
  <conditionalFormatting sqref="C1:C280 C282:C1048576">
    <cfRule type="duplicateValues" dxfId="28" priority="1573"/>
  </conditionalFormatting>
  <conditionalFormatting sqref="C265:C277">
    <cfRule type="duplicateValues" dxfId="27" priority="1374"/>
    <cfRule type="duplicateValues" dxfId="26" priority="1378"/>
    <cfRule type="duplicateValues" dxfId="25" priority="1377"/>
    <cfRule type="duplicateValues" dxfId="24" priority="1376"/>
    <cfRule type="duplicateValues" dxfId="23" priority="1375"/>
  </conditionalFormatting>
  <conditionalFormatting sqref="C278:C280 B265:B282 C282 B148:C264 B1:C137 B283:C1048576">
    <cfRule type="duplicateValues" dxfId="22" priority="1549"/>
  </conditionalFormatting>
  <conditionalFormatting sqref="C278:C282 B265:B282 B1:C264 B283:C1048576">
    <cfRule type="duplicateValues" dxfId="21" priority="1556"/>
  </conditionalFormatting>
  <conditionalFormatting sqref="C278:C282 B265:B282 B148:C264 B1:C137 B283:C1048576">
    <cfRule type="duplicateValues" dxfId="20" priority="1561"/>
  </conditionalFormatting>
  <conditionalFormatting sqref="C278:C282 B265:B282 B148:C264 B1:C138 B283:C1048576">
    <cfRule type="duplicateValues" dxfId="19" priority="1567"/>
  </conditionalFormatting>
  <conditionalFormatting sqref="F138 F139:G262">
    <cfRule type="containsText" dxfId="18" priority="423" operator="containsText" text="MFU">
      <formula>NOT(ISERROR(SEARCH("MFU",F138)))</formula>
    </cfRule>
  </conditionalFormatting>
  <conditionalFormatting sqref="F264">
    <cfRule type="duplicateValues" dxfId="17" priority="46"/>
    <cfRule type="duplicateValues" dxfId="16" priority="47"/>
    <cfRule type="duplicateValues" dxfId="15" priority="48"/>
    <cfRule type="duplicateValues" dxfId="14" priority="49"/>
  </conditionalFormatting>
  <conditionalFormatting sqref="F272 F264:F269">
    <cfRule type="duplicateValues" dxfId="13" priority="854"/>
  </conditionalFormatting>
  <conditionalFormatting sqref="F272 F265:F269">
    <cfRule type="duplicateValues" dxfId="12" priority="858"/>
  </conditionalFormatting>
  <conditionalFormatting sqref="F273">
    <cfRule type="duplicateValues" dxfId="11" priority="36"/>
    <cfRule type="duplicateValues" dxfId="10" priority="37"/>
    <cfRule type="duplicateValues" dxfId="9" priority="38"/>
    <cfRule type="duplicateValues" dxfId="8" priority="39"/>
    <cfRule type="duplicateValues" dxfId="7" priority="40"/>
  </conditionalFormatting>
  <conditionalFormatting sqref="F3:G138">
    <cfRule type="containsText" dxfId="6" priority="247" operator="containsText" text="CORP">
      <formula>NOT(ISERROR(SEARCH("CORP",F3)))</formula>
    </cfRule>
    <cfRule type="containsText" dxfId="5" priority="248" operator="containsText" text="MFU">
      <formula>NOT(ISERROR(SEARCH("MFU",F3)))</formula>
    </cfRule>
  </conditionalFormatting>
  <conditionalFormatting sqref="F3:G262">
    <cfRule type="containsText" dxfId="4" priority="32" operator="containsText" text="PMTA">
      <formula>NOT(ISERROR(SEARCH("PMTA",F3)))</formula>
    </cfRule>
  </conditionalFormatting>
  <conditionalFormatting sqref="F138:G138">
    <cfRule type="colorScale" priority="254">
      <colorScale>
        <cfvo type="formula" val="&quot;PMTA&quot;"/>
        <cfvo type="formula" val="&quot;MFU&quot;"/>
        <cfvo type="formula" val="&quot;CORP&quot;"/>
        <color rgb="FFF8696B"/>
        <color rgb="FFFFEB84"/>
        <color rgb="FF63BE7B"/>
      </colorScale>
    </cfRule>
    <cfRule type="dataBar" priority="25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{05D35277-0BCC-427D-AEDA-F5B015A72B63}</x14:id>
        </ext>
      </extLst>
    </cfRule>
    <cfRule type="iconSet" priority="252">
      <iconSet iconSet="4TrafficLights">
        <cfvo type="percent" val="0"/>
        <cfvo type="percent" val="25"/>
        <cfvo type="percent" val="50"/>
        <cfvo type="percent" val="75"/>
      </iconSet>
    </cfRule>
    <cfRule type="containsText" dxfId="3" priority="250" operator="containsText" text="PMTA">
      <formula>NOT(ISERROR(SEARCH("PMTA",F138)))</formula>
    </cfRule>
    <cfRule type="iconSet" priority="253">
      <iconSet>
        <cfvo type="percent" val="0"/>
        <cfvo type="percent" val="33"/>
        <cfvo type="percent" val="67"/>
      </iconSet>
    </cfRule>
  </conditionalFormatting>
  <conditionalFormatting sqref="F139:G147">
    <cfRule type="containsText" dxfId="2" priority="954" operator="containsText" text="PMTA">
      <formula>NOT(ISERROR(SEARCH("PMTA",F139)))</formula>
    </cfRule>
    <cfRule type="dataBar" priority="9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{D1ACF998-ECC2-45D8-A50B-962A7CDFFA75}</x14:id>
        </ext>
      </extLst>
    </cfRule>
    <cfRule type="iconSet" priority="956">
      <iconSet iconSet="4TrafficLights">
        <cfvo type="percent" val="0"/>
        <cfvo type="percent" val="25"/>
        <cfvo type="percent" val="50"/>
        <cfvo type="percent" val="75"/>
      </iconSet>
    </cfRule>
    <cfRule type="iconSet" priority="957">
      <iconSet>
        <cfvo type="percent" val="0"/>
        <cfvo type="percent" val="33"/>
        <cfvo type="percent" val="67"/>
      </iconSet>
    </cfRule>
    <cfRule type="colorScale" priority="958">
      <colorScale>
        <cfvo type="formula" val="&quot;PMTA&quot;"/>
        <cfvo type="formula" val="&quot;MFU&quot;"/>
        <cfvo type="formula" val="&quot;CORP&quot;"/>
        <color rgb="FFF8696B"/>
        <color rgb="FFFFEB84"/>
        <color rgb="FF63BE7B"/>
      </colorScale>
    </cfRule>
  </conditionalFormatting>
  <conditionalFormatting sqref="F139:G262 F138">
    <cfRule type="containsText" dxfId="1" priority="422" operator="containsText" text="CORP">
      <formula>NOT(ISERROR(SEARCH("CORP",F138)))</formula>
    </cfRule>
  </conditionalFormatting>
  <conditionalFormatting sqref="G188">
    <cfRule type="containsText" dxfId="0" priority="307" operator="containsText" text="PMTA">
      <formula>NOT(ISERROR(SEARCH("PMTA",G188)))</formula>
    </cfRule>
  </conditionalFormatting>
  <conditionalFormatting sqref="L3">
    <cfRule type="colorScale" priority="318">
      <colorScale>
        <cfvo type="formula" val="&quot;pmta&quot;"/>
        <cfvo type="formula" val="&quot;MFU&quot;"/>
        <cfvo type="formula" val="&quot;CORP&quot;"/>
        <color rgb="FFF8696B"/>
        <color rgb="FFFFEB84"/>
        <color rgb="FF63BE7B"/>
      </colorScale>
    </cfRule>
  </conditionalFormatting>
  <pageMargins left="0.7" right="0.7" top="0.75" bottom="0.75" header="0.3" footer="0.3"/>
  <pageSetup paperSize="8" scale="42" fitToHeight="0" orientation="portrait" r:id="rId1"/>
  <rowBreaks count="2" manualBreakCount="2">
    <brk id="124" max="10" man="1"/>
    <brk id="249" max="10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D35277-0BCC-427D-AEDA-F5B015A72B6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F138:G138</xm:sqref>
        </x14:conditionalFormatting>
        <x14:conditionalFormatting xmlns:xm="http://schemas.microsoft.com/office/excel/2006/main">
          <x14:cfRule type="dataBar" id="{D1ACF998-ECC2-45D8-A50B-962A7CDFFA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F139:G147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Seyana Manpower list  (2)</vt:lpstr>
      <vt:lpstr>'Seyana Manpower list  (2)'!Print_Area</vt:lpstr>
      <vt:lpstr>'Seyana Manpower list 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Meharoof Ali Tharayil</dc:creator>
  <cp:lastModifiedBy>Meharoof Ali Tharayil</cp:lastModifiedBy>
  <cp:lastPrinted>2026-09-20T07:27:37Z</cp:lastPrinted>
  <dcterms:created xsi:type="dcterms:W3CDTF">2025-08-07T05:40:56Z</dcterms:created>
  <dcterms:modified xsi:type="dcterms:W3CDTF">2026-09-30T06:38:23Z</dcterms:modified>
</cp:coreProperties>
</file>